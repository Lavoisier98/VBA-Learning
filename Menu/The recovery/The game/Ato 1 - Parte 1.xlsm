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240" yWindow="45" windowWidth="20115" windowHeight="7995"/>
  </bookViews>
  <sheets>
    <sheet name="Ato 1 - Parte 1" sheetId="1" r:id="rId1"/>
    <sheet name="Banco de Dados" sheetId="2" r:id="rId2"/>
    <sheet name="Inventário" sheetId="3" r:id="rId3"/>
  </sheets>
  <calcPr calcId="125725"/>
</workbook>
</file>

<file path=xl/calcChain.xml><?xml version="1.0" encoding="utf-8"?>
<calcChain xmlns="http://schemas.openxmlformats.org/spreadsheetml/2006/main">
  <c r="X1" i="1"/>
  <c r="A75" i="2"/>
  <c r="D29"/>
  <c r="D26"/>
  <c r="D27"/>
  <c r="D28"/>
  <c r="D25"/>
  <c r="D24"/>
  <c r="A73"/>
  <c r="A71"/>
  <c r="A69"/>
  <c r="A67"/>
  <c r="D10"/>
  <c r="D11"/>
  <c r="D12"/>
  <c r="D13"/>
  <c r="D14"/>
  <c r="D15"/>
  <c r="D16"/>
  <c r="D17"/>
  <c r="D18"/>
  <c r="D19"/>
  <c r="D20"/>
  <c r="D21"/>
  <c r="D22"/>
  <c r="D23"/>
  <c r="D9"/>
  <c r="B43" l="1"/>
  <c r="B40"/>
  <c r="B42"/>
  <c r="B41"/>
  <c r="B38"/>
  <c r="B39"/>
  <c r="B36"/>
  <c r="B37"/>
  <c r="B34"/>
  <c r="B35"/>
  <c r="B33"/>
  <c r="B32"/>
  <c r="B30"/>
  <c r="B31"/>
  <c r="B29"/>
  <c r="B27"/>
  <c r="B28"/>
  <c r="B26"/>
  <c r="B25"/>
  <c r="B23"/>
  <c r="B24"/>
  <c r="B22"/>
  <c r="B21"/>
  <c r="B20"/>
  <c r="B19"/>
  <c r="B15"/>
  <c r="B18"/>
  <c r="B17"/>
  <c r="B16"/>
  <c r="B13"/>
  <c r="B14"/>
  <c r="B12"/>
  <c r="B11"/>
  <c r="B10"/>
  <c r="B9"/>
</calcChain>
</file>

<file path=xl/sharedStrings.xml><?xml version="1.0" encoding="utf-8"?>
<sst xmlns="http://schemas.openxmlformats.org/spreadsheetml/2006/main" count="94" uniqueCount="90">
  <si>
    <t>Nome:</t>
  </si>
  <si>
    <t>Sobrenome:</t>
  </si>
  <si>
    <t>Apelido:</t>
  </si>
  <si>
    <t>Gênero:</t>
  </si>
  <si>
    <t>Corpo:</t>
  </si>
  <si>
    <t>Cabelo:</t>
  </si>
  <si>
    <t>Etnia:</t>
  </si>
  <si>
    <t>Estado Civil:</t>
  </si>
  <si>
    <t>Parceiro(a):</t>
  </si>
  <si>
    <t>Situação:</t>
  </si>
  <si>
    <t>Tatuagens:</t>
  </si>
  <si>
    <t>Acessório:</t>
  </si>
  <si>
    <t>A reconquista</t>
  </si>
  <si>
    <t>Ato 1</t>
  </si>
  <si>
    <t>Personagens</t>
  </si>
  <si>
    <t>Condição</t>
  </si>
  <si>
    <t>Relação</t>
  </si>
  <si>
    <t>Alice Strootman</t>
  </si>
  <si>
    <t>Eduardo Argento</t>
  </si>
  <si>
    <t>Jonathan Brito</t>
  </si>
  <si>
    <t>Rafael Costa</t>
  </si>
  <si>
    <t>Ariane Silva</t>
  </si>
  <si>
    <t>Miguel Carvalho</t>
  </si>
  <si>
    <t>Jaime Bueno</t>
  </si>
  <si>
    <t>Thamires Rocha</t>
  </si>
  <si>
    <t>Nathalya Fitzpatrick</t>
  </si>
  <si>
    <t>Johana Ferreira</t>
  </si>
  <si>
    <t>Juny Ferreira</t>
  </si>
  <si>
    <t>Andrew Nakamoto</t>
  </si>
  <si>
    <t>Bruno Myashiro</t>
  </si>
  <si>
    <t>Alexandra Stefan</t>
  </si>
  <si>
    <t>Adrian Miranda</t>
  </si>
  <si>
    <t>Yasmin Moura</t>
  </si>
  <si>
    <t>Kaio Silverman</t>
  </si>
  <si>
    <t>Taylor Jones</t>
  </si>
  <si>
    <t>Simon Álvares</t>
  </si>
  <si>
    <t>Larissa Soares</t>
  </si>
  <si>
    <t>Laura Cristina</t>
  </si>
  <si>
    <t>Andressa Mallmann</t>
  </si>
  <si>
    <t>Suellen Weber</t>
  </si>
  <si>
    <t>Wagner Sato</t>
  </si>
  <si>
    <t>Alan Jerry</t>
  </si>
  <si>
    <t>Alanna Stones</t>
  </si>
  <si>
    <t>Naufrágio</t>
  </si>
  <si>
    <t>Gabriella Santana</t>
  </si>
  <si>
    <t>JC Gómez</t>
  </si>
  <si>
    <t>Maria Mota</t>
  </si>
  <si>
    <t>DJ Sônic</t>
  </si>
  <si>
    <t>DJ Blackjack</t>
  </si>
  <si>
    <t>DJ Guerra</t>
  </si>
  <si>
    <t>Capitã Kolya</t>
  </si>
  <si>
    <t>Random1:</t>
  </si>
  <si>
    <t>Random2:</t>
  </si>
  <si>
    <t>Random3:</t>
  </si>
  <si>
    <t>Random4:</t>
  </si>
  <si>
    <t>Random5:</t>
  </si>
  <si>
    <t>Navio:</t>
  </si>
  <si>
    <t>Faculdade:</t>
  </si>
  <si>
    <t>Porto:</t>
  </si>
  <si>
    <t>Marinheiro Tony</t>
  </si>
  <si>
    <t>Marinheiro Omar</t>
  </si>
  <si>
    <t>Random6:</t>
  </si>
  <si>
    <t>Random7:</t>
  </si>
  <si>
    <t>Random8:</t>
  </si>
  <si>
    <t>Random9:</t>
  </si>
  <si>
    <t>Current Status:</t>
  </si>
  <si>
    <t>Start Time:</t>
  </si>
  <si>
    <t>Stop Time:</t>
  </si>
  <si>
    <t>O grupo está em uma espécie de semi-círculo, apoiados na popa. Chego vagarosamente, desviando o olhar de um pra outro de maneira inquieta. Broto e entroso com...</t>
  </si>
  <si>
    <t>Com um sorriso analítico e difícil de decifrar, Camille Guerra me encara fixamente. Agora, a uma distância melhor, posso reparar em mais detalhes. A expressão é óbvia quanto ao feedback necessário: É como se estivesse implorando para que eu quebrasse o gelo</t>
  </si>
  <si>
    <t>Tempo:</t>
  </si>
  <si>
    <t>Caminho até o grupo e cumprimento todos. Será ótimo colocar as ideias em dia.</t>
  </si>
  <si>
    <t>Fim do Capítulo:</t>
  </si>
  <si>
    <t>Ato 1 - Parte 2</t>
  </si>
  <si>
    <t>Ryan Hildebrando</t>
  </si>
  <si>
    <t>Lorena Soares</t>
  </si>
  <si>
    <t>Marinheiro Herbert</t>
  </si>
  <si>
    <t>Marinheiro André</t>
  </si>
  <si>
    <t>Amanda Pereira</t>
  </si>
  <si>
    <t>Thomas Spencer</t>
  </si>
  <si>
    <t>Número</t>
  </si>
  <si>
    <t>Marinheiro Tony me encara fixamente. Agora, a uma distância melhor, posso reparar em mais detalhes. Talvez o protocolo de trabalho dificulte as coisas, então... É hora de ajudar a quebrar o gelo</t>
  </si>
  <si>
    <t>A Reconquista</t>
  </si>
  <si>
    <t>Último Final:</t>
  </si>
  <si>
    <r>
      <t xml:space="preserve">Ato 1 </t>
    </r>
    <r>
      <rPr>
        <sz val="58"/>
        <color theme="1"/>
        <rFont val="Aristotle Punk"/>
      </rPr>
      <t>-</t>
    </r>
    <r>
      <rPr>
        <sz val="58"/>
        <color theme="1"/>
        <rFont val="Aztec Hipster"/>
      </rPr>
      <t xml:space="preserve"> Autoconhecimento    Capitulo 1 </t>
    </r>
    <r>
      <rPr>
        <sz val="58"/>
        <color theme="1"/>
        <rFont val="Aristotle Punk"/>
      </rPr>
      <t>-</t>
    </r>
    <r>
      <rPr>
        <sz val="58"/>
        <color theme="1"/>
        <rFont val="Aztec Hipster"/>
      </rPr>
      <t xml:space="preserve"> Todos a bordo</t>
    </r>
  </si>
  <si>
    <t>Stop</t>
  </si>
  <si>
    <t>Final Secreto 2</t>
  </si>
  <si>
    <t>Uma Nova Fase</t>
  </si>
  <si>
    <t>Conquistas</t>
  </si>
  <si>
    <t>Registrar</t>
  </si>
</sst>
</file>

<file path=xl/styles.xml><?xml version="1.0" encoding="utf-8"?>
<styleSheet xmlns="http://schemas.openxmlformats.org/spreadsheetml/2006/main">
  <numFmts count="1">
    <numFmt numFmtId="164" formatCode="h:mm:ss;@"/>
  </numFmts>
  <fonts count="6">
    <font>
      <sz val="11"/>
      <color theme="1"/>
      <name val="Calibri"/>
      <family val="2"/>
      <scheme val="minor"/>
    </font>
    <font>
      <sz val="72"/>
      <color theme="1"/>
      <name val="Calibri"/>
      <family val="2"/>
    </font>
    <font>
      <sz val="26"/>
      <color theme="1"/>
      <name val="Eras Bold ITC"/>
      <family val="2"/>
    </font>
    <font>
      <sz val="58"/>
      <color theme="1"/>
      <name val="Aztec Hipster"/>
    </font>
    <font>
      <sz val="58"/>
      <color theme="1"/>
      <name val="Aristotle Punk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center"/>
    </xf>
    <xf numFmtId="0" fontId="0" fillId="2" borderId="0" xfId="0" applyFill="1"/>
    <xf numFmtId="0" fontId="0" fillId="0" borderId="2" xfId="0" applyBorder="1"/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1" xfId="0" applyBorder="1" applyAlignment="1">
      <alignment wrapText="1"/>
    </xf>
    <xf numFmtId="164" fontId="0" fillId="0" borderId="1" xfId="0" applyNumberFormat="1" applyBorder="1"/>
    <xf numFmtId="0" fontId="0" fillId="0" borderId="0" xfId="0" applyFill="1" applyBorder="1"/>
    <xf numFmtId="0" fontId="0" fillId="0" borderId="0" xfId="0" applyBorder="1"/>
    <xf numFmtId="45" fontId="0" fillId="0" borderId="1" xfId="0" applyNumberFormat="1" applyBorder="1"/>
    <xf numFmtId="0" fontId="0" fillId="2" borderId="0" xfId="0" applyFont="1" applyFill="1"/>
    <xf numFmtId="0" fontId="5" fillId="0" borderId="0" xfId="0" applyFont="1"/>
    <xf numFmtId="0" fontId="2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3" fillId="2" borderId="0" xfId="0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17</xdr:row>
      <xdr:rowOff>142875</xdr:rowOff>
    </xdr:from>
    <xdr:to>
      <xdr:col>12</xdr:col>
      <xdr:colOff>295275</xdr:colOff>
      <xdr:row>20</xdr:row>
      <xdr:rowOff>600075</xdr:rowOff>
    </xdr:to>
    <xdr:sp macro="[0]!Iniciar" textlink="">
      <xdr:nvSpPr>
        <xdr:cNvPr id="2" name="Retângulo 1"/>
        <xdr:cNvSpPr/>
      </xdr:nvSpPr>
      <xdr:spPr>
        <a:xfrm>
          <a:off x="5010150" y="3381375"/>
          <a:ext cx="2600325" cy="1028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5400">
              <a:latin typeface="Aztec Hipster" pitchFamily="2" charset="0"/>
            </a:rPr>
            <a:t>Iniciar</a:t>
          </a:r>
        </a:p>
      </xdr:txBody>
    </xdr:sp>
    <xdr:clientData/>
  </xdr:twoCellAnchor>
  <xdr:twoCellAnchor>
    <xdr:from>
      <xdr:col>26</xdr:col>
      <xdr:colOff>381000</xdr:colOff>
      <xdr:row>12</xdr:row>
      <xdr:rowOff>152399</xdr:rowOff>
    </xdr:from>
    <xdr:to>
      <xdr:col>39</xdr:col>
      <xdr:colOff>266700</xdr:colOff>
      <xdr:row>16</xdr:row>
      <xdr:rowOff>38100</xdr:rowOff>
    </xdr:to>
    <xdr:sp macro="[0]!Falar_de_tempo2" textlink="">
      <xdr:nvSpPr>
        <xdr:cNvPr id="3" name="Retângulo 2"/>
        <xdr:cNvSpPr/>
      </xdr:nvSpPr>
      <xdr:spPr>
        <a:xfrm>
          <a:off x="16230600" y="2438399"/>
          <a:ext cx="7810500" cy="6477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Cumprimentar e comentar sobre o tempoã </a:t>
          </a:r>
        </a:p>
      </xdr:txBody>
    </xdr:sp>
    <xdr:clientData/>
  </xdr:twoCellAnchor>
  <xdr:twoCellAnchor>
    <xdr:from>
      <xdr:col>26</xdr:col>
      <xdr:colOff>390525</xdr:colOff>
      <xdr:row>20</xdr:row>
      <xdr:rowOff>1152527</xdr:rowOff>
    </xdr:from>
    <xdr:to>
      <xdr:col>39</xdr:col>
      <xdr:colOff>276225</xdr:colOff>
      <xdr:row>20</xdr:row>
      <xdr:rowOff>1809751</xdr:rowOff>
    </xdr:to>
    <xdr:sp macro="[0]!Subir_Rapidamente2" textlink="">
      <xdr:nvSpPr>
        <xdr:cNvPr id="5" name="Retângulo 4"/>
        <xdr:cNvSpPr/>
      </xdr:nvSpPr>
      <xdr:spPr>
        <a:xfrm>
          <a:off x="16240125" y="4962527"/>
          <a:ext cx="7810500" cy="657224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Subir rapidamente e se</a:t>
          </a:r>
          <a:r>
            <a:rPr lang="pt-BR" sz="2800" baseline="0">
              <a:latin typeface="Aztec Hipster" pitchFamily="2" charset="0"/>
            </a:rPr>
            <a:t> juntar aos outros</a:t>
          </a:r>
          <a:endParaRPr lang="pt-BR" sz="2800">
            <a:latin typeface="Aztec Hipster" pitchFamily="2" charset="0"/>
          </a:endParaRPr>
        </a:p>
      </xdr:txBody>
    </xdr:sp>
    <xdr:clientData/>
  </xdr:twoCellAnchor>
  <xdr:twoCellAnchor>
    <xdr:from>
      <xdr:col>3</xdr:col>
      <xdr:colOff>190500</xdr:colOff>
      <xdr:row>46</xdr:row>
      <xdr:rowOff>114300</xdr:rowOff>
    </xdr:from>
    <xdr:to>
      <xdr:col>9</xdr:col>
      <xdr:colOff>323850</xdr:colOff>
      <xdr:row>50</xdr:row>
      <xdr:rowOff>857251</xdr:rowOff>
    </xdr:to>
    <xdr:sp macro="[0]!Iniciar" textlink="">
      <xdr:nvSpPr>
        <xdr:cNvPr id="6" name="Retângulo 5"/>
        <xdr:cNvSpPr/>
      </xdr:nvSpPr>
      <xdr:spPr>
        <a:xfrm>
          <a:off x="2019300" y="11353800"/>
          <a:ext cx="3790950" cy="15049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Cumprimentar e comentar sobre o tempoã </a:t>
          </a:r>
        </a:p>
      </xdr:txBody>
    </xdr:sp>
    <xdr:clientData/>
  </xdr:twoCellAnchor>
  <xdr:twoCellAnchor>
    <xdr:from>
      <xdr:col>11</xdr:col>
      <xdr:colOff>438150</xdr:colOff>
      <xdr:row>46</xdr:row>
      <xdr:rowOff>76200</xdr:rowOff>
    </xdr:from>
    <xdr:to>
      <xdr:col>17</xdr:col>
      <xdr:colOff>571500</xdr:colOff>
      <xdr:row>50</xdr:row>
      <xdr:rowOff>819151</xdr:rowOff>
    </xdr:to>
    <xdr:sp macro="[0]!Iniciar" textlink="">
      <xdr:nvSpPr>
        <xdr:cNvPr id="7" name="Retângulo 6"/>
        <xdr:cNvSpPr/>
      </xdr:nvSpPr>
      <xdr:spPr>
        <a:xfrm>
          <a:off x="7143750" y="11315700"/>
          <a:ext cx="3790950" cy="15049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Subir rapidamente e se</a:t>
          </a:r>
          <a:r>
            <a:rPr lang="pt-BR" sz="2800" baseline="0">
              <a:latin typeface="Aztec Hipster" pitchFamily="2" charset="0"/>
            </a:rPr>
            <a:t> juntar aos outros</a:t>
          </a:r>
          <a:endParaRPr lang="pt-BR" sz="2800">
            <a:latin typeface="Aztec Hipster" pitchFamily="2" charset="0"/>
          </a:endParaRPr>
        </a:p>
      </xdr:txBody>
    </xdr:sp>
    <xdr:clientData/>
  </xdr:twoCellAnchor>
  <xdr:twoCellAnchor>
    <xdr:from>
      <xdr:col>26</xdr:col>
      <xdr:colOff>371474</xdr:colOff>
      <xdr:row>19</xdr:row>
      <xdr:rowOff>47623</xdr:rowOff>
    </xdr:from>
    <xdr:to>
      <xdr:col>39</xdr:col>
      <xdr:colOff>266699</xdr:colOff>
      <xdr:row>20</xdr:row>
      <xdr:rowOff>504825</xdr:rowOff>
    </xdr:to>
    <xdr:sp macro="[0]!Cicatriz2" textlink="">
      <xdr:nvSpPr>
        <xdr:cNvPr id="8" name="Retângulo 7"/>
        <xdr:cNvSpPr/>
      </xdr:nvSpPr>
      <xdr:spPr>
        <a:xfrm>
          <a:off x="16221074" y="3667123"/>
          <a:ext cx="7820025" cy="647702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Cumprimentar e comentar sobre a cicatriz</a:t>
          </a:r>
        </a:p>
      </xdr:txBody>
    </xdr:sp>
    <xdr:clientData/>
  </xdr:twoCellAnchor>
  <xdr:twoCellAnchor>
    <xdr:from>
      <xdr:col>57</xdr:col>
      <xdr:colOff>104776</xdr:colOff>
      <xdr:row>20</xdr:row>
      <xdr:rowOff>85726</xdr:rowOff>
    </xdr:from>
    <xdr:to>
      <xdr:col>59</xdr:col>
      <xdr:colOff>314325</xdr:colOff>
      <xdr:row>20</xdr:row>
      <xdr:rowOff>676275</xdr:rowOff>
    </xdr:to>
    <xdr:sp macro="[0]!Script_Incompleto" textlink="">
      <xdr:nvSpPr>
        <xdr:cNvPr id="9" name="Retângulo 8"/>
        <xdr:cNvSpPr/>
      </xdr:nvSpPr>
      <xdr:spPr>
        <a:xfrm>
          <a:off x="34851976" y="3895726"/>
          <a:ext cx="1428749" cy="5905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JC</a:t>
          </a:r>
        </a:p>
      </xdr:txBody>
    </xdr:sp>
    <xdr:clientData/>
  </xdr:twoCellAnchor>
  <xdr:twoCellAnchor>
    <xdr:from>
      <xdr:col>53</xdr:col>
      <xdr:colOff>276225</xdr:colOff>
      <xdr:row>20</xdr:row>
      <xdr:rowOff>66676</xdr:rowOff>
    </xdr:from>
    <xdr:to>
      <xdr:col>55</xdr:col>
      <xdr:colOff>485775</xdr:colOff>
      <xdr:row>20</xdr:row>
      <xdr:rowOff>657225</xdr:rowOff>
    </xdr:to>
    <xdr:sp macro="[0]!Script_Incompleto" textlink="">
      <xdr:nvSpPr>
        <xdr:cNvPr id="10" name="Retângulo 9"/>
        <xdr:cNvSpPr/>
      </xdr:nvSpPr>
      <xdr:spPr>
        <a:xfrm>
          <a:off x="32585025" y="3876676"/>
          <a:ext cx="1428750" cy="5905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Maria</a:t>
          </a:r>
        </a:p>
      </xdr:txBody>
    </xdr:sp>
    <xdr:clientData/>
  </xdr:twoCellAnchor>
  <xdr:twoCellAnchor>
    <xdr:from>
      <xdr:col>49</xdr:col>
      <xdr:colOff>581025</xdr:colOff>
      <xdr:row>20</xdr:row>
      <xdr:rowOff>38100</xdr:rowOff>
    </xdr:from>
    <xdr:to>
      <xdr:col>52</xdr:col>
      <xdr:colOff>190500</xdr:colOff>
      <xdr:row>20</xdr:row>
      <xdr:rowOff>638175</xdr:rowOff>
    </xdr:to>
    <xdr:sp macro="[0]!Script_Incompleto" textlink="">
      <xdr:nvSpPr>
        <xdr:cNvPr id="11" name="Retângulo 10"/>
        <xdr:cNvSpPr/>
      </xdr:nvSpPr>
      <xdr:spPr>
        <a:xfrm>
          <a:off x="30451425" y="3848100"/>
          <a:ext cx="1438275" cy="6000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Adrian</a:t>
          </a:r>
        </a:p>
      </xdr:txBody>
    </xdr:sp>
    <xdr:clientData/>
  </xdr:twoCellAnchor>
  <xdr:twoCellAnchor>
    <xdr:from>
      <xdr:col>64</xdr:col>
      <xdr:colOff>314325</xdr:colOff>
      <xdr:row>20</xdr:row>
      <xdr:rowOff>123825</xdr:rowOff>
    </xdr:from>
    <xdr:to>
      <xdr:col>66</xdr:col>
      <xdr:colOff>542925</xdr:colOff>
      <xdr:row>20</xdr:row>
      <xdr:rowOff>714374</xdr:rowOff>
    </xdr:to>
    <xdr:sp macro="[0]!Script_Incompleto" textlink="">
      <xdr:nvSpPr>
        <xdr:cNvPr id="12" name="Retângulo 11"/>
        <xdr:cNvSpPr/>
      </xdr:nvSpPr>
      <xdr:spPr>
        <a:xfrm>
          <a:off x="39328725" y="3933825"/>
          <a:ext cx="1447800" cy="5905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Ryan</a:t>
          </a:r>
        </a:p>
      </xdr:txBody>
    </xdr:sp>
    <xdr:clientData/>
  </xdr:twoCellAnchor>
  <xdr:twoCellAnchor>
    <xdr:from>
      <xdr:col>60</xdr:col>
      <xdr:colOff>542925</xdr:colOff>
      <xdr:row>20</xdr:row>
      <xdr:rowOff>95250</xdr:rowOff>
    </xdr:from>
    <xdr:to>
      <xdr:col>63</xdr:col>
      <xdr:colOff>161925</xdr:colOff>
      <xdr:row>20</xdr:row>
      <xdr:rowOff>685799</xdr:rowOff>
    </xdr:to>
    <xdr:sp macro="[0]!Script_Incompleto" textlink="">
      <xdr:nvSpPr>
        <xdr:cNvPr id="13" name="Retângulo 12"/>
        <xdr:cNvSpPr/>
      </xdr:nvSpPr>
      <xdr:spPr>
        <a:xfrm>
          <a:off x="37118925" y="3905250"/>
          <a:ext cx="1447800" cy="5905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Lorena</a:t>
          </a:r>
        </a:p>
      </xdr:txBody>
    </xdr:sp>
    <xdr:clientData/>
  </xdr:twoCellAnchor>
  <xdr:twoCellAnchor>
    <xdr:from>
      <xdr:col>73</xdr:col>
      <xdr:colOff>371475</xdr:colOff>
      <xdr:row>14</xdr:row>
      <xdr:rowOff>142875</xdr:rowOff>
    </xdr:from>
    <xdr:to>
      <xdr:col>80</xdr:col>
      <xdr:colOff>57150</xdr:colOff>
      <xdr:row>17</xdr:row>
      <xdr:rowOff>171450</xdr:rowOff>
    </xdr:to>
    <xdr:sp macro="[0]!Script_Incompleto" textlink="">
      <xdr:nvSpPr>
        <xdr:cNvPr id="14" name="Retângulo 13"/>
        <xdr:cNvSpPr/>
      </xdr:nvSpPr>
      <xdr:spPr>
        <a:xfrm>
          <a:off x="44872275" y="2809875"/>
          <a:ext cx="3952875" cy="6000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Reparar na camisa</a:t>
          </a:r>
        </a:p>
      </xdr:txBody>
    </xdr:sp>
    <xdr:clientData/>
  </xdr:twoCellAnchor>
  <xdr:twoCellAnchor>
    <xdr:from>
      <xdr:col>81</xdr:col>
      <xdr:colOff>400050</xdr:colOff>
      <xdr:row>14</xdr:row>
      <xdr:rowOff>161925</xdr:rowOff>
    </xdr:from>
    <xdr:to>
      <xdr:col>88</xdr:col>
      <xdr:colOff>85725</xdr:colOff>
      <xdr:row>18</xdr:row>
      <xdr:rowOff>0</xdr:rowOff>
    </xdr:to>
    <xdr:sp macro="[0]!Script_Incompleto" textlink="">
      <xdr:nvSpPr>
        <xdr:cNvPr id="15" name="Retângulo 14"/>
        <xdr:cNvSpPr/>
      </xdr:nvSpPr>
      <xdr:spPr>
        <a:xfrm>
          <a:off x="49777650" y="2828925"/>
          <a:ext cx="3952875" cy="6000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Reparar nas tatuagens</a:t>
          </a:r>
        </a:p>
      </xdr:txBody>
    </xdr:sp>
    <xdr:clientData/>
  </xdr:twoCellAnchor>
  <xdr:twoCellAnchor>
    <xdr:from>
      <xdr:col>73</xdr:col>
      <xdr:colOff>409575</xdr:colOff>
      <xdr:row>20</xdr:row>
      <xdr:rowOff>600075</xdr:rowOff>
    </xdr:from>
    <xdr:to>
      <xdr:col>80</xdr:col>
      <xdr:colOff>95250</xdr:colOff>
      <xdr:row>20</xdr:row>
      <xdr:rowOff>1200150</xdr:rowOff>
    </xdr:to>
    <xdr:sp macro="[0]!Script_Incompleto" textlink="">
      <xdr:nvSpPr>
        <xdr:cNvPr id="16" name="Retângulo 15"/>
        <xdr:cNvSpPr/>
      </xdr:nvSpPr>
      <xdr:spPr>
        <a:xfrm>
          <a:off x="44910375" y="4410075"/>
          <a:ext cx="3952875" cy="6000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Reparar na Mascara</a:t>
          </a:r>
        </a:p>
      </xdr:txBody>
    </xdr:sp>
    <xdr:clientData/>
  </xdr:twoCellAnchor>
  <xdr:twoCellAnchor>
    <xdr:from>
      <xdr:col>81</xdr:col>
      <xdr:colOff>390525</xdr:colOff>
      <xdr:row>20</xdr:row>
      <xdr:rowOff>609600</xdr:rowOff>
    </xdr:from>
    <xdr:to>
      <xdr:col>88</xdr:col>
      <xdr:colOff>76200</xdr:colOff>
      <xdr:row>20</xdr:row>
      <xdr:rowOff>1209675</xdr:rowOff>
    </xdr:to>
    <xdr:sp macro="[0]!Script_Incompleto" textlink="">
      <xdr:nvSpPr>
        <xdr:cNvPr id="17" name="Retângulo 16"/>
        <xdr:cNvSpPr/>
      </xdr:nvSpPr>
      <xdr:spPr>
        <a:xfrm>
          <a:off x="49768125" y="4419600"/>
          <a:ext cx="3952875" cy="6000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Combinar</a:t>
          </a:r>
          <a:r>
            <a:rPr lang="pt-BR" sz="2800" baseline="0">
              <a:latin typeface="Aztec Hipster" pitchFamily="2" charset="0"/>
            </a:rPr>
            <a:t> encontro</a:t>
          </a:r>
          <a:endParaRPr lang="pt-BR" sz="2800">
            <a:latin typeface="Aztec Hipster" pitchFamily="2" charset="0"/>
          </a:endParaRPr>
        </a:p>
      </xdr:txBody>
    </xdr:sp>
    <xdr:clientData/>
  </xdr:twoCellAnchor>
  <xdr:twoCellAnchor>
    <xdr:from>
      <xdr:col>95</xdr:col>
      <xdr:colOff>561975</xdr:colOff>
      <xdr:row>20</xdr:row>
      <xdr:rowOff>152400</xdr:rowOff>
    </xdr:from>
    <xdr:to>
      <xdr:col>98</xdr:col>
      <xdr:colOff>295275</xdr:colOff>
      <xdr:row>20</xdr:row>
      <xdr:rowOff>742949</xdr:rowOff>
    </xdr:to>
    <xdr:sp macro="[0]!Script_Incompleto" textlink="">
      <xdr:nvSpPr>
        <xdr:cNvPr id="18" name="Retângulo 17"/>
        <xdr:cNvSpPr/>
      </xdr:nvSpPr>
      <xdr:spPr>
        <a:xfrm>
          <a:off x="58473975" y="3962400"/>
          <a:ext cx="1562100" cy="5905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Spencer</a:t>
          </a:r>
        </a:p>
      </xdr:txBody>
    </xdr:sp>
    <xdr:clientData/>
  </xdr:twoCellAnchor>
  <xdr:twoCellAnchor>
    <xdr:from>
      <xdr:col>99</xdr:col>
      <xdr:colOff>171450</xdr:colOff>
      <xdr:row>20</xdr:row>
      <xdr:rowOff>180975</xdr:rowOff>
    </xdr:from>
    <xdr:to>
      <xdr:col>101</xdr:col>
      <xdr:colOff>514350</xdr:colOff>
      <xdr:row>20</xdr:row>
      <xdr:rowOff>771524</xdr:rowOff>
    </xdr:to>
    <xdr:sp macro="[0]!Script_Incompleto" textlink="">
      <xdr:nvSpPr>
        <xdr:cNvPr id="19" name="Retângulo 18"/>
        <xdr:cNvSpPr/>
      </xdr:nvSpPr>
      <xdr:spPr>
        <a:xfrm>
          <a:off x="60521850" y="3990975"/>
          <a:ext cx="1562100" cy="5905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Thamy</a:t>
          </a:r>
        </a:p>
      </xdr:txBody>
    </xdr:sp>
    <xdr:clientData/>
  </xdr:twoCellAnchor>
  <xdr:twoCellAnchor>
    <xdr:from>
      <xdr:col>102</xdr:col>
      <xdr:colOff>504825</xdr:colOff>
      <xdr:row>20</xdr:row>
      <xdr:rowOff>190500</xdr:rowOff>
    </xdr:from>
    <xdr:to>
      <xdr:col>105</xdr:col>
      <xdr:colOff>238125</xdr:colOff>
      <xdr:row>20</xdr:row>
      <xdr:rowOff>781049</xdr:rowOff>
    </xdr:to>
    <xdr:sp macro="[0]!Script_Incompleto" textlink="">
      <xdr:nvSpPr>
        <xdr:cNvPr id="20" name="Retângulo 19"/>
        <xdr:cNvSpPr/>
      </xdr:nvSpPr>
      <xdr:spPr>
        <a:xfrm>
          <a:off x="62684025" y="4000500"/>
          <a:ext cx="1562100" cy="5905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Edu</a:t>
          </a:r>
        </a:p>
      </xdr:txBody>
    </xdr:sp>
    <xdr:clientData/>
  </xdr:twoCellAnchor>
  <xdr:twoCellAnchor>
    <xdr:from>
      <xdr:col>106</xdr:col>
      <xdr:colOff>200025</xdr:colOff>
      <xdr:row>20</xdr:row>
      <xdr:rowOff>209550</xdr:rowOff>
    </xdr:from>
    <xdr:to>
      <xdr:col>108</xdr:col>
      <xdr:colOff>542925</xdr:colOff>
      <xdr:row>20</xdr:row>
      <xdr:rowOff>800099</xdr:rowOff>
    </xdr:to>
    <xdr:sp macro="[0]!Script_Incompleto" textlink="">
      <xdr:nvSpPr>
        <xdr:cNvPr id="21" name="Retângulo 20"/>
        <xdr:cNvSpPr/>
      </xdr:nvSpPr>
      <xdr:spPr>
        <a:xfrm>
          <a:off x="64817625" y="4019550"/>
          <a:ext cx="1562100" cy="5905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Kaio</a:t>
          </a:r>
        </a:p>
      </xdr:txBody>
    </xdr:sp>
    <xdr:clientData/>
  </xdr:twoCellAnchor>
  <xdr:twoCellAnchor>
    <xdr:from>
      <xdr:col>109</xdr:col>
      <xdr:colOff>485775</xdr:colOff>
      <xdr:row>20</xdr:row>
      <xdr:rowOff>209550</xdr:rowOff>
    </xdr:from>
    <xdr:to>
      <xdr:col>112</xdr:col>
      <xdr:colOff>219075</xdr:colOff>
      <xdr:row>20</xdr:row>
      <xdr:rowOff>800099</xdr:rowOff>
    </xdr:to>
    <xdr:sp macro="[0]!Script_Incompleto" textlink="">
      <xdr:nvSpPr>
        <xdr:cNvPr id="22" name="Retângulo 21"/>
        <xdr:cNvSpPr/>
      </xdr:nvSpPr>
      <xdr:spPr>
        <a:xfrm>
          <a:off x="66932175" y="4019550"/>
          <a:ext cx="1562100" cy="5905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Laura</a:t>
          </a:r>
        </a:p>
      </xdr:txBody>
    </xdr:sp>
    <xdr:clientData/>
  </xdr:twoCellAnchor>
  <xdr:twoCellAnchor>
    <xdr:from>
      <xdr:col>119</xdr:col>
      <xdr:colOff>495300</xdr:colOff>
      <xdr:row>16</xdr:row>
      <xdr:rowOff>19050</xdr:rowOff>
    </xdr:from>
    <xdr:to>
      <xdr:col>126</xdr:col>
      <xdr:colOff>180975</xdr:colOff>
      <xdr:row>19</xdr:row>
      <xdr:rowOff>47625</xdr:rowOff>
    </xdr:to>
    <xdr:sp macro="[0]!Script_Incompleto" textlink="">
      <xdr:nvSpPr>
        <xdr:cNvPr id="23" name="Retângulo 22"/>
        <xdr:cNvSpPr/>
      </xdr:nvSpPr>
      <xdr:spPr>
        <a:xfrm>
          <a:off x="73037700" y="3067050"/>
          <a:ext cx="3952875" cy="6000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Reparar No uniforme</a:t>
          </a:r>
        </a:p>
      </xdr:txBody>
    </xdr:sp>
    <xdr:clientData/>
  </xdr:twoCellAnchor>
  <xdr:twoCellAnchor>
    <xdr:from>
      <xdr:col>128</xdr:col>
      <xdr:colOff>19050</xdr:colOff>
      <xdr:row>16</xdr:row>
      <xdr:rowOff>47625</xdr:rowOff>
    </xdr:from>
    <xdr:to>
      <xdr:col>134</xdr:col>
      <xdr:colOff>314325</xdr:colOff>
      <xdr:row>19</xdr:row>
      <xdr:rowOff>76200</xdr:rowOff>
    </xdr:to>
    <xdr:sp macro="[0]!Script_Incompleto" textlink="">
      <xdr:nvSpPr>
        <xdr:cNvPr id="24" name="Retângulo 23"/>
        <xdr:cNvSpPr/>
      </xdr:nvSpPr>
      <xdr:spPr>
        <a:xfrm>
          <a:off x="78047850" y="3095625"/>
          <a:ext cx="3952875" cy="6000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Reparar nas tatuagens</a:t>
          </a:r>
        </a:p>
      </xdr:txBody>
    </xdr:sp>
    <xdr:clientData/>
  </xdr:twoCellAnchor>
  <xdr:twoCellAnchor>
    <xdr:from>
      <xdr:col>119</xdr:col>
      <xdr:colOff>504825</xdr:colOff>
      <xdr:row>20</xdr:row>
      <xdr:rowOff>904875</xdr:rowOff>
    </xdr:from>
    <xdr:to>
      <xdr:col>126</xdr:col>
      <xdr:colOff>190500</xdr:colOff>
      <xdr:row>20</xdr:row>
      <xdr:rowOff>1504950</xdr:rowOff>
    </xdr:to>
    <xdr:sp macro="[0]!Script_Incompleto" textlink="">
      <xdr:nvSpPr>
        <xdr:cNvPr id="25" name="Retângulo 24"/>
        <xdr:cNvSpPr/>
      </xdr:nvSpPr>
      <xdr:spPr>
        <a:xfrm>
          <a:off x="73047225" y="4714875"/>
          <a:ext cx="3952875" cy="6000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Reparar no nome</a:t>
          </a:r>
        </a:p>
      </xdr:txBody>
    </xdr:sp>
    <xdr:clientData/>
  </xdr:twoCellAnchor>
  <xdr:twoCellAnchor>
    <xdr:from>
      <xdr:col>128</xdr:col>
      <xdr:colOff>19050</xdr:colOff>
      <xdr:row>20</xdr:row>
      <xdr:rowOff>895350</xdr:rowOff>
    </xdr:from>
    <xdr:to>
      <xdr:col>134</xdr:col>
      <xdr:colOff>314325</xdr:colOff>
      <xdr:row>20</xdr:row>
      <xdr:rowOff>1495425</xdr:rowOff>
    </xdr:to>
    <xdr:sp macro="[0]!Script_Incompleto" textlink="">
      <xdr:nvSpPr>
        <xdr:cNvPr id="26" name="Retângulo 25"/>
        <xdr:cNvSpPr/>
      </xdr:nvSpPr>
      <xdr:spPr>
        <a:xfrm>
          <a:off x="78047850" y="4705350"/>
          <a:ext cx="3952875" cy="6000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 u="none">
              <a:latin typeface="Aztec Hipster" pitchFamily="2" charset="0"/>
            </a:rPr>
            <a:t>Marcar</a:t>
          </a:r>
          <a:r>
            <a:rPr lang="pt-BR" sz="2800" u="none" baseline="0">
              <a:latin typeface="Aztec Hipster" pitchFamily="2" charset="0"/>
            </a:rPr>
            <a:t> um Encontro</a:t>
          </a:r>
          <a:endParaRPr lang="pt-BR" sz="2800" u="none">
            <a:latin typeface="Aztec Hipster" pitchFamily="2" charset="0"/>
          </a:endParaRPr>
        </a:p>
      </xdr:txBody>
    </xdr:sp>
    <xdr:clientData/>
  </xdr:twoCellAnchor>
  <xdr:twoCellAnchor>
    <xdr:from>
      <xdr:col>0</xdr:col>
      <xdr:colOff>238125</xdr:colOff>
      <xdr:row>1</xdr:row>
      <xdr:rowOff>38100</xdr:rowOff>
    </xdr:from>
    <xdr:to>
      <xdr:col>1</xdr:col>
      <xdr:colOff>542925</xdr:colOff>
      <xdr:row>4</xdr:row>
      <xdr:rowOff>47625</xdr:rowOff>
    </xdr:to>
    <xdr:sp macro="[0]!Content" textlink="">
      <xdr:nvSpPr>
        <xdr:cNvPr id="27" name="Retângulo de cantos arredondados 26"/>
        <xdr:cNvSpPr/>
      </xdr:nvSpPr>
      <xdr:spPr>
        <a:xfrm>
          <a:off x="238125" y="228600"/>
          <a:ext cx="91440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800">
              <a:latin typeface="Aztec Hipster" pitchFamily="2" charset="0"/>
            </a:rPr>
            <a:t>ADM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438150</xdr:colOff>
      <xdr:row>22</xdr:row>
      <xdr:rowOff>180975</xdr:rowOff>
    </xdr:from>
    <xdr:to>
      <xdr:col>6</xdr:col>
      <xdr:colOff>800100</xdr:colOff>
      <xdr:row>27</xdr:row>
      <xdr:rowOff>66675</xdr:rowOff>
    </xdr:to>
    <xdr:sp macro="[0]!Refazer_Naufrágio" textlink="">
      <xdr:nvSpPr>
        <xdr:cNvPr id="2" name="Elipse 1"/>
        <xdr:cNvSpPr/>
      </xdr:nvSpPr>
      <xdr:spPr>
        <a:xfrm>
          <a:off x="7439025" y="4371975"/>
          <a:ext cx="1657350" cy="838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 b="1"/>
            <a:t>Refazer Naufrágio</a:t>
          </a:r>
        </a:p>
      </xdr:txBody>
    </xdr:sp>
    <xdr:clientData/>
  </xdr:twoCellAnchor>
  <xdr:twoCellAnchor>
    <xdr:from>
      <xdr:col>1</xdr:col>
      <xdr:colOff>590550</xdr:colOff>
      <xdr:row>67</xdr:row>
      <xdr:rowOff>133350</xdr:rowOff>
    </xdr:from>
    <xdr:to>
      <xdr:col>2</xdr:col>
      <xdr:colOff>676275</xdr:colOff>
      <xdr:row>72</xdr:row>
      <xdr:rowOff>19050</xdr:rowOff>
    </xdr:to>
    <xdr:sp macro="[0]!Refazer_Naufrágio" textlink="">
      <xdr:nvSpPr>
        <xdr:cNvPr id="3" name="Elipse 2"/>
        <xdr:cNvSpPr/>
      </xdr:nvSpPr>
      <xdr:spPr>
        <a:xfrm>
          <a:off x="2390775" y="9086850"/>
          <a:ext cx="1657350" cy="838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 b="1"/>
            <a:t>Refazer Naufrágio</a:t>
          </a:r>
        </a:p>
      </xdr:txBody>
    </xdr:sp>
    <xdr:clientData/>
  </xdr:twoCellAnchor>
  <xdr:twoCellAnchor>
    <xdr:from>
      <xdr:col>8</xdr:col>
      <xdr:colOff>361949</xdr:colOff>
      <xdr:row>29</xdr:row>
      <xdr:rowOff>47624</xdr:rowOff>
    </xdr:from>
    <xdr:to>
      <xdr:col>9</xdr:col>
      <xdr:colOff>838199</xdr:colOff>
      <xdr:row>32</xdr:row>
      <xdr:rowOff>171449</xdr:rowOff>
    </xdr:to>
    <xdr:sp macro="" textlink="">
      <xdr:nvSpPr>
        <xdr:cNvPr id="4" name="Elipse 3"/>
        <xdr:cNvSpPr/>
      </xdr:nvSpPr>
      <xdr:spPr>
        <a:xfrm>
          <a:off x="10706099" y="5572124"/>
          <a:ext cx="1438275" cy="695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Iniciar Cronometro</a:t>
          </a:r>
        </a:p>
      </xdr:txBody>
    </xdr:sp>
    <xdr:clientData/>
  </xdr:twoCellAnchor>
  <xdr:twoCellAnchor>
    <xdr:from>
      <xdr:col>8</xdr:col>
      <xdr:colOff>428624</xdr:colOff>
      <xdr:row>34</xdr:row>
      <xdr:rowOff>66675</xdr:rowOff>
    </xdr:from>
    <xdr:to>
      <xdr:col>9</xdr:col>
      <xdr:colOff>838200</xdr:colOff>
      <xdr:row>37</xdr:row>
      <xdr:rowOff>161925</xdr:rowOff>
    </xdr:to>
    <xdr:sp macro="" textlink="">
      <xdr:nvSpPr>
        <xdr:cNvPr id="5" name="Elipse 4"/>
        <xdr:cNvSpPr/>
      </xdr:nvSpPr>
      <xdr:spPr>
        <a:xfrm>
          <a:off x="10772774" y="6543675"/>
          <a:ext cx="1371601" cy="666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Parar Cronometro</a:t>
          </a:r>
        </a:p>
      </xdr:txBody>
    </xdr:sp>
    <xdr:clientData/>
  </xdr:twoCellAnchor>
  <xdr:twoCellAnchor>
    <xdr:from>
      <xdr:col>1</xdr:col>
      <xdr:colOff>76200</xdr:colOff>
      <xdr:row>90</xdr:row>
      <xdr:rowOff>0</xdr:rowOff>
    </xdr:from>
    <xdr:to>
      <xdr:col>1</xdr:col>
      <xdr:colOff>1333500</xdr:colOff>
      <xdr:row>92</xdr:row>
      <xdr:rowOff>28575</xdr:rowOff>
    </xdr:to>
    <xdr:sp macro="[0]!Cronometro2" textlink="">
      <xdr:nvSpPr>
        <xdr:cNvPr id="6" name="Elipse 5"/>
        <xdr:cNvSpPr/>
      </xdr:nvSpPr>
      <xdr:spPr>
        <a:xfrm>
          <a:off x="1876425" y="17145000"/>
          <a:ext cx="1257300" cy="4095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Start</a:t>
          </a:r>
        </a:p>
      </xdr:txBody>
    </xdr:sp>
    <xdr:clientData/>
  </xdr:twoCellAnchor>
  <xdr:twoCellAnchor>
    <xdr:from>
      <xdr:col>1</xdr:col>
      <xdr:colOff>1495425</xdr:colOff>
      <xdr:row>89</xdr:row>
      <xdr:rowOff>180975</xdr:rowOff>
    </xdr:from>
    <xdr:to>
      <xdr:col>2</xdr:col>
      <xdr:colOff>1181100</xdr:colOff>
      <xdr:row>92</xdr:row>
      <xdr:rowOff>19050</xdr:rowOff>
    </xdr:to>
    <xdr:sp macro="[0]!Cronometro3" textlink="">
      <xdr:nvSpPr>
        <xdr:cNvPr id="7" name="Elipse 6"/>
        <xdr:cNvSpPr/>
      </xdr:nvSpPr>
      <xdr:spPr>
        <a:xfrm>
          <a:off x="3295650" y="17135475"/>
          <a:ext cx="1257300" cy="4095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2"/>
  <dimension ref="A1:EI173"/>
  <sheetViews>
    <sheetView tabSelected="1" workbookViewId="0">
      <selection activeCell="E173" sqref="E173"/>
    </sheetView>
  </sheetViews>
  <sheetFormatPr defaultRowHeight="15"/>
  <sheetData>
    <row r="1" spans="1:139" ht="15" customHeight="1">
      <c r="A1" s="19" t="s">
        <v>84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4"/>
      <c r="V1" s="4"/>
      <c r="X1" s="17" t="str">
        <f>IF('Banco de Dados'!F2="F","Finalmente, alcanço a rampa. A Capitã me encara enquanto traga o cachimbo, o que me faz perceber que, na verdade, o olho direito dela é percorrido por uma ligeira cicatriz, e também que sou a última pessoa a subir e estou atrasando a viagem.","Finalmente, alcanço a rampa. A Capitã vira em minha direção enquanto traga o cachimbo, e percebo que o olho direito dela tem uma cicatriz,  o braço é bem mais largo do que aparentava de longe e a estatura surpreende. Bem mais alta que eu.")</f>
        <v>Finalmente, alcanço a rampa. A Capitã vira em minha direção enquanto traga o cachimbo, e percebo que o olho direito dela tem uma cicatriz,  o braço é bem mais largo do que aparentava de longe e a estatura surpreende. Bem mais alta que eu.</v>
      </c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4"/>
      <c r="AS1" s="4"/>
      <c r="AW1" s="20" t="s">
        <v>68</v>
      </c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4"/>
      <c r="BR1" s="4"/>
      <c r="BT1" s="17" t="s">
        <v>69</v>
      </c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4"/>
      <c r="CO1" s="4"/>
      <c r="CQ1" s="17" t="s">
        <v>71</v>
      </c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4"/>
      <c r="DL1" s="4"/>
      <c r="DN1" s="17" t="s">
        <v>81</v>
      </c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4"/>
      <c r="EI1" s="4"/>
    </row>
    <row r="2" spans="1:139" ht="1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4"/>
      <c r="V2" s="4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4"/>
      <c r="AS2" s="4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4"/>
      <c r="BR2" s="4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4"/>
      <c r="CO2" s="4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4"/>
      <c r="DL2" s="4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4"/>
      <c r="EI2" s="4"/>
    </row>
    <row r="3" spans="1:139" ht="15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4"/>
      <c r="V3" s="4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4"/>
      <c r="AS3" s="4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4"/>
      <c r="BR3" s="4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4"/>
      <c r="CO3" s="4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4"/>
      <c r="DL3" s="4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4"/>
      <c r="EI3" s="4"/>
    </row>
    <row r="4" spans="1:139" ht="15" customHeight="1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4"/>
      <c r="V4" s="4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4"/>
      <c r="AS4" s="4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4"/>
      <c r="BR4" s="4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4"/>
      <c r="CO4" s="4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4"/>
      <c r="DL4" s="4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4"/>
      <c r="EI4" s="4"/>
    </row>
    <row r="5" spans="1:139" ht="15" customHeight="1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4"/>
      <c r="V5" s="4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4"/>
      <c r="AS5" s="4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4"/>
      <c r="BR5" s="4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4"/>
      <c r="CO5" s="4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4"/>
      <c r="DL5" s="4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4"/>
      <c r="EI5" s="4"/>
    </row>
    <row r="6" spans="1:139" ht="1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4"/>
      <c r="V6" s="4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4"/>
      <c r="AS6" s="4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4"/>
      <c r="BR6" s="4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4"/>
      <c r="CO6" s="4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4"/>
      <c r="DL6" s="4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4"/>
      <c r="EI6" s="4"/>
    </row>
    <row r="7" spans="1:139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4"/>
      <c r="V7" s="4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4"/>
      <c r="AS7" s="4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4"/>
      <c r="BR7" s="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4"/>
      <c r="CO7" s="4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4"/>
      <c r="DL7" s="4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4"/>
      <c r="EI7" s="4"/>
    </row>
    <row r="8" spans="1:139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4"/>
      <c r="V8" s="4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4"/>
      <c r="AS8" s="4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4"/>
      <c r="BR8" s="4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4"/>
      <c r="CO8" s="4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4"/>
      <c r="DL8" s="4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4"/>
      <c r="EI8" s="4"/>
    </row>
    <row r="9" spans="1:139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4"/>
      <c r="V9" s="4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4"/>
      <c r="AS9" s="4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4"/>
      <c r="BR9" s="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4"/>
      <c r="CO9" s="4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4"/>
      <c r="DL9" s="4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4"/>
      <c r="EI9" s="4"/>
    </row>
    <row r="10" spans="1:139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4"/>
      <c r="V10" s="4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4"/>
      <c r="AS10" s="4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4"/>
      <c r="BR10" s="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4"/>
      <c r="CO10" s="4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4"/>
      <c r="DL10" s="4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4"/>
      <c r="EI10" s="4"/>
    </row>
    <row r="11" spans="1:139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</row>
    <row r="12" spans="1:139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</row>
    <row r="13" spans="1:139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</row>
    <row r="14" spans="1:139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</row>
    <row r="15" spans="1:139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</row>
    <row r="16" spans="1:139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</row>
    <row r="17" spans="1:139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15"/>
      <c r="AP17" s="4"/>
      <c r="AQ17" s="4"/>
      <c r="AR17" s="4"/>
      <c r="AS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</row>
    <row r="18" spans="1:139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</row>
    <row r="19" spans="1:13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</row>
    <row r="20" spans="1:139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</row>
    <row r="21" spans="1:139" ht="210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</row>
    <row r="22" spans="1:139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</row>
    <row r="23" spans="1:139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</row>
    <row r="24" spans="1:139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</row>
    <row r="25" spans="1:139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</row>
    <row r="28" spans="1:139">
      <c r="A28" s="17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4"/>
    </row>
    <row r="29" spans="1:139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4"/>
    </row>
    <row r="30" spans="1:139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4"/>
    </row>
    <row r="31" spans="1:139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4"/>
    </row>
    <row r="32" spans="1:139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4"/>
    </row>
    <row r="33" spans="1:2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4"/>
    </row>
    <row r="34" spans="1:2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4"/>
    </row>
    <row r="35" spans="1:2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4"/>
    </row>
    <row r="36" spans="1:2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4"/>
    </row>
    <row r="37" spans="1:2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4"/>
    </row>
    <row r="38" spans="1:2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</row>
    <row r="39" spans="1:2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</row>
    <row r="40" spans="1:2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</row>
    <row r="41" spans="1:2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</row>
    <row r="42" spans="1:2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</row>
    <row r="43" spans="1:2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</row>
    <row r="44" spans="1:2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</row>
    <row r="45" spans="1:2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</row>
    <row r="46" spans="1:2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</row>
    <row r="47" spans="1:2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</row>
    <row r="48" spans="1:2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</row>
    <row r="49" spans="1:2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</row>
    <row r="50" spans="1:2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</row>
    <row r="51" spans="1:21" ht="210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</row>
    <row r="52" spans="1:2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</row>
    <row r="58" spans="1:21">
      <c r="A58" s="17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4"/>
    </row>
    <row r="59" spans="1:2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4"/>
    </row>
    <row r="60" spans="1:2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4"/>
    </row>
    <row r="61" spans="1:2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4"/>
    </row>
    <row r="62" spans="1:2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4"/>
    </row>
    <row r="63" spans="1:2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4"/>
    </row>
    <row r="64" spans="1:2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4"/>
    </row>
    <row r="65" spans="1:2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4"/>
    </row>
    <row r="66" spans="1:2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4"/>
    </row>
    <row r="67" spans="1:2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4"/>
    </row>
    <row r="68" spans="1:2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</row>
    <row r="69" spans="1:2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</row>
    <row r="70" spans="1:2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</row>
    <row r="71" spans="1:2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</row>
    <row r="72" spans="1:2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</row>
    <row r="73" spans="1:2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</row>
    <row r="74" spans="1:2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</row>
    <row r="75" spans="1:2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</row>
    <row r="76" spans="1:2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</row>
    <row r="77" spans="1:2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</row>
    <row r="78" spans="1:2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</row>
    <row r="79" spans="1:2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</row>
    <row r="80" spans="1:21" ht="210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</row>
    <row r="81" spans="1:2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</row>
    <row r="82" spans="1:2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</row>
    <row r="173" spans="5:5">
      <c r="E173" s="16"/>
    </row>
  </sheetData>
  <mergeCells count="8">
    <mergeCell ref="A58:T67"/>
    <mergeCell ref="DN1:EG10"/>
    <mergeCell ref="CQ1:DJ10"/>
    <mergeCell ref="A1:T10"/>
    <mergeCell ref="X1:AQ10"/>
    <mergeCell ref="A28:T37"/>
    <mergeCell ref="AW1:BP10"/>
    <mergeCell ref="BT1:CM10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:O120"/>
  <sheetViews>
    <sheetView showGridLines="0" showRowColHeaders="0" showZeros="0" topLeftCell="A49" workbookViewId="0">
      <selection activeCell="F57" sqref="F57"/>
    </sheetView>
  </sheetViews>
  <sheetFormatPr defaultRowHeight="15"/>
  <cols>
    <col min="1" max="1" width="27" customWidth="1"/>
    <col min="2" max="2" width="23.5703125" customWidth="1"/>
    <col min="3" max="3" width="21.5703125" customWidth="1"/>
    <col min="4" max="4" width="17.7109375" customWidth="1"/>
    <col min="5" max="5" width="15.140625" customWidth="1"/>
    <col min="6" max="6" width="19.42578125" customWidth="1"/>
    <col min="7" max="7" width="16.42578125" customWidth="1"/>
    <col min="8" max="8" width="18.85546875" customWidth="1"/>
    <col min="9" max="9" width="14.42578125" customWidth="1"/>
    <col min="10" max="10" width="25.7109375" customWidth="1"/>
    <col min="11" max="11" width="15.85546875" customWidth="1"/>
    <col min="12" max="12" width="14.42578125" customWidth="1"/>
    <col min="13" max="13" width="16.85546875" customWidth="1"/>
    <col min="14" max="14" width="15.140625" customWidth="1"/>
    <col min="15" max="15" width="15.5703125" customWidth="1"/>
  </cols>
  <sheetData>
    <row r="1" spans="1:15">
      <c r="B1" s="1"/>
      <c r="C1" s="1" t="s">
        <v>0</v>
      </c>
      <c r="D1" s="1" t="s">
        <v>1</v>
      </c>
      <c r="E1" s="1" t="s">
        <v>2</v>
      </c>
      <c r="F1" s="1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</row>
    <row r="2" spans="1:15">
      <c r="B2" s="1" t="s">
        <v>12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4" spans="1:15">
      <c r="B4" t="s">
        <v>13</v>
      </c>
      <c r="C4" s="1" t="s">
        <v>56</v>
      </c>
      <c r="D4" s="5" t="s">
        <v>57</v>
      </c>
      <c r="E4" s="1" t="s">
        <v>58</v>
      </c>
      <c r="F4" s="2" t="s">
        <v>72</v>
      </c>
    </row>
    <row r="5" spans="1:15" ht="15" customHeight="1">
      <c r="B5">
        <v>1</v>
      </c>
      <c r="C5" s="1"/>
      <c r="D5" s="5"/>
      <c r="E5" s="10"/>
      <c r="F5" s="1"/>
    </row>
    <row r="6" spans="1:15">
      <c r="E6" s="8"/>
    </row>
    <row r="7" spans="1:15">
      <c r="E7" s="9"/>
    </row>
    <row r="8" spans="1:15">
      <c r="A8" s="3" t="s">
        <v>14</v>
      </c>
      <c r="B8" s="3" t="s">
        <v>15</v>
      </c>
      <c r="C8" s="3" t="s">
        <v>16</v>
      </c>
      <c r="D8" s="6" t="s">
        <v>43</v>
      </c>
      <c r="E8" s="7" t="s">
        <v>80</v>
      </c>
    </row>
    <row r="9" spans="1:15">
      <c r="A9" s="1" t="s">
        <v>31</v>
      </c>
      <c r="B9" s="1" t="str">
        <f ca="1">IF(COUNTIF($D$9:$D$24,9)&gt;0,"Vivo","Morto no naufrágio")</f>
        <v>Morto no naufrágio</v>
      </c>
      <c r="C9" s="1"/>
      <c r="D9">
        <f ca="1">RANDBETWEEN(9,43)</f>
        <v>38</v>
      </c>
      <c r="E9" s="1"/>
    </row>
    <row r="10" spans="1:15">
      <c r="A10" s="1" t="s">
        <v>41</v>
      </c>
      <c r="B10" s="1" t="str">
        <f ca="1">IF(COUNTIF($D$9:$D$24,10)&gt;0,"Vivo","Morto no naufrágio")</f>
        <v>Morto no naufrágio</v>
      </c>
      <c r="C10" s="1"/>
      <c r="D10">
        <f t="shared" ref="D10:D23" ca="1" si="0">RANDBETWEEN(9,43)</f>
        <v>20</v>
      </c>
      <c r="E10" s="1"/>
    </row>
    <row r="11" spans="1:15">
      <c r="A11" s="1" t="s">
        <v>42</v>
      </c>
      <c r="B11" s="1" t="str">
        <f ca="1">IF(COUNTIF($D$9:$D$24,11)&gt;0,"Vivo","Morto no naufrágio")</f>
        <v>Morto no naufrágio</v>
      </c>
      <c r="C11" s="1"/>
      <c r="D11">
        <f t="shared" ca="1" si="0"/>
        <v>13</v>
      </c>
      <c r="E11" s="1"/>
    </row>
    <row r="12" spans="1:15">
      <c r="A12" s="1" t="s">
        <v>30</v>
      </c>
      <c r="B12" s="1" t="str">
        <f ca="1">IF(COUNTIF($D$9:$D$24,12)&gt;0,"Vivo","Morto no naufrágio")</f>
        <v>Morto no naufrágio</v>
      </c>
      <c r="C12" s="1"/>
      <c r="D12">
        <f t="shared" ca="1" si="0"/>
        <v>23</v>
      </c>
      <c r="E12" s="1"/>
    </row>
    <row r="13" spans="1:15">
      <c r="A13" s="1" t="s">
        <v>17</v>
      </c>
      <c r="B13" s="1" t="str">
        <f ca="1">IF(COUNTIF($D$9:$D$24,13)&gt;0,"Vivo","Morto no naufrágio")</f>
        <v>Vivo</v>
      </c>
      <c r="C13" s="1"/>
      <c r="D13">
        <f t="shared" ca="1" si="0"/>
        <v>23</v>
      </c>
      <c r="E13" s="1"/>
    </row>
    <row r="14" spans="1:15">
      <c r="A14" s="1" t="s">
        <v>38</v>
      </c>
      <c r="B14" s="1" t="str">
        <f ca="1">IF(COUNTIF($D$9:$D$24,14)&gt;0,"Vivo","Morto no naufrágio")</f>
        <v>Vivo</v>
      </c>
      <c r="C14" s="1"/>
      <c r="D14">
        <f t="shared" ca="1" si="0"/>
        <v>26</v>
      </c>
      <c r="E14" s="1"/>
    </row>
    <row r="15" spans="1:15">
      <c r="A15" s="1" t="s">
        <v>28</v>
      </c>
      <c r="B15" s="1" t="str">
        <f ca="1">IF(COUNTIF($D$9:$D$24,15)&gt;0,"Vivo","Morto no naufrágio")</f>
        <v>Vivo</v>
      </c>
      <c r="C15" s="1"/>
      <c r="D15">
        <f t="shared" ca="1" si="0"/>
        <v>26</v>
      </c>
      <c r="E15" s="1"/>
    </row>
    <row r="16" spans="1:15">
      <c r="A16" s="1" t="s">
        <v>21</v>
      </c>
      <c r="B16" s="1" t="str">
        <f ca="1">IF(COUNTIF($D$9:$D$24,16)&gt;0,"Vivo","Morto no naufrágio")</f>
        <v>Morto no naufrágio</v>
      </c>
      <c r="C16" s="1"/>
      <c r="D16">
        <f t="shared" ca="1" si="0"/>
        <v>14</v>
      </c>
      <c r="E16" s="1"/>
    </row>
    <row r="17" spans="1:5">
      <c r="A17" s="1" t="s">
        <v>29</v>
      </c>
      <c r="B17" s="1" t="str">
        <f ca="1">IF(COUNTIF($D$9:$D$24,17)&gt;0,"Vivo","Morto no naufrágio")</f>
        <v>Vivo</v>
      </c>
      <c r="C17" s="1"/>
      <c r="D17">
        <f t="shared" ca="1" si="0"/>
        <v>30</v>
      </c>
      <c r="E17" s="1"/>
    </row>
    <row r="18" spans="1:5">
      <c r="A18" s="2" t="s">
        <v>50</v>
      </c>
      <c r="B18" s="1" t="str">
        <f ca="1">IF(COUNTIF($D$9:$D$24,18)&gt;0,"Vivo","Morto no naufrágio")</f>
        <v>Morto no naufrágio</v>
      </c>
      <c r="C18" s="1"/>
      <c r="D18">
        <f t="shared" ca="1" si="0"/>
        <v>13</v>
      </c>
      <c r="E18" s="1"/>
    </row>
    <row r="19" spans="1:5">
      <c r="A19" s="2" t="s">
        <v>48</v>
      </c>
      <c r="B19" s="1" t="str">
        <f ca="1">IF(COUNTIF($D$9:$D$24,19)&gt;0,"Vivo","Morto no naufrágio")</f>
        <v>Morto no naufrágio</v>
      </c>
      <c r="C19" s="1"/>
      <c r="D19">
        <f t="shared" ca="1" si="0"/>
        <v>15</v>
      </c>
      <c r="E19" s="1"/>
    </row>
    <row r="20" spans="1:5">
      <c r="A20" s="2" t="s">
        <v>49</v>
      </c>
      <c r="B20" s="1" t="str">
        <f ca="1">IF(COUNTIF($D$9:$D$24,20)&gt;0,"Vivo","Morto no naufrágio")</f>
        <v>Vivo</v>
      </c>
      <c r="C20" s="1"/>
      <c r="D20">
        <f t="shared" ca="1" si="0"/>
        <v>29</v>
      </c>
      <c r="E20" s="1"/>
    </row>
    <row r="21" spans="1:5">
      <c r="A21" s="2" t="s">
        <v>47</v>
      </c>
      <c r="B21" s="1" t="str">
        <f ca="1">IF(COUNTIF($D$9:$D$24,21)&gt;0,"Vivo","Morto no naufrágio")</f>
        <v>Vivo</v>
      </c>
      <c r="C21" s="1"/>
      <c r="D21">
        <f t="shared" ca="1" si="0"/>
        <v>21</v>
      </c>
      <c r="E21" s="1"/>
    </row>
    <row r="22" spans="1:5">
      <c r="A22" s="1" t="s">
        <v>18</v>
      </c>
      <c r="B22" s="1" t="str">
        <f ca="1">IF(COUNTIF($D$9:$D$24,22)&gt;0,"Vivo","Morto no naufrágio")</f>
        <v>Morto no naufrágio</v>
      </c>
      <c r="C22" s="1"/>
      <c r="D22">
        <f t="shared" ca="1" si="0"/>
        <v>17</v>
      </c>
      <c r="E22" s="1"/>
    </row>
    <row r="23" spans="1:5">
      <c r="A23" s="2" t="s">
        <v>44</v>
      </c>
      <c r="B23" s="1" t="str">
        <f ca="1">IF(COUNTIF($D$9:$D$24,23)&gt;0,"Vivo","Morto no naufrágio")</f>
        <v>Vivo</v>
      </c>
      <c r="C23" s="1"/>
      <c r="D23">
        <f t="shared" ca="1" si="0"/>
        <v>17</v>
      </c>
      <c r="E23" s="1"/>
    </row>
    <row r="24" spans="1:5">
      <c r="A24" s="1" t="s">
        <v>23</v>
      </c>
      <c r="B24" s="1" t="str">
        <f ca="1">IF(COUNTIF($D$9:$D$24,24)&gt;0,"Vivo","Morto no naufrágio")</f>
        <v>Morto no naufrágio</v>
      </c>
      <c r="C24" s="1"/>
      <c r="D24">
        <f t="shared" ref="D24:D29" ca="1" si="1">RANDBETWEEN(9,43)</f>
        <v>36</v>
      </c>
      <c r="E24" s="1"/>
    </row>
    <row r="25" spans="1:5">
      <c r="A25" s="2" t="s">
        <v>45</v>
      </c>
      <c r="B25" s="1" t="str">
        <f ca="1">IF(COUNTIF($D$9:$D$24,25)&gt;0,"Vivo","Morto no naufrágio")</f>
        <v>Morto no naufrágio</v>
      </c>
      <c r="C25" s="1"/>
      <c r="D25">
        <f t="shared" ca="1" si="1"/>
        <v>38</v>
      </c>
      <c r="E25" s="1"/>
    </row>
    <row r="26" spans="1:5">
      <c r="A26" s="1" t="s">
        <v>26</v>
      </c>
      <c r="B26" s="1" t="str">
        <f ca="1">IF(COUNTIF($D$9:$D$24,26)&gt;0,"Vivo","Morto no naufrágio")</f>
        <v>Vivo</v>
      </c>
      <c r="C26" s="1"/>
      <c r="D26">
        <f t="shared" ca="1" si="1"/>
        <v>26</v>
      </c>
      <c r="E26" s="1"/>
    </row>
    <row r="27" spans="1:5">
      <c r="A27" s="1" t="s">
        <v>19</v>
      </c>
      <c r="B27" s="1" t="str">
        <f ca="1">IF(COUNTIF($D$9:$D$24,27)&gt;0,"Vivo","Morto no naufrágio")</f>
        <v>Morto no naufrágio</v>
      </c>
      <c r="C27" s="1"/>
      <c r="D27">
        <f t="shared" ca="1" si="1"/>
        <v>43</v>
      </c>
      <c r="E27" s="1"/>
    </row>
    <row r="28" spans="1:5">
      <c r="A28" s="1" t="s">
        <v>27</v>
      </c>
      <c r="B28" s="1" t="str">
        <f ca="1">IF(COUNTIF($D$9:$D$24,28)&gt;0,"Vivo","Morto no naufrágio")</f>
        <v>Morto no naufrágio</v>
      </c>
      <c r="C28" s="1"/>
      <c r="D28">
        <f t="shared" ca="1" si="1"/>
        <v>25</v>
      </c>
      <c r="E28" s="1"/>
    </row>
    <row r="29" spans="1:5">
      <c r="A29" s="1" t="s">
        <v>33</v>
      </c>
      <c r="B29" s="1" t="str">
        <f ca="1">IF(COUNTIF($D$9:$D$24,29)&gt;0,"Vivo","Morto no naufrágio")</f>
        <v>Vivo</v>
      </c>
      <c r="C29" s="1"/>
      <c r="D29">
        <f t="shared" ca="1" si="1"/>
        <v>23</v>
      </c>
      <c r="E29" s="1"/>
    </row>
    <row r="30" spans="1:5">
      <c r="A30" s="1" t="s">
        <v>36</v>
      </c>
      <c r="B30" s="1" t="str">
        <f ca="1">IF(COUNTIF($D$9:$D$24,30)&gt;0,"Vivo","Morto no naufrágio")</f>
        <v>Vivo</v>
      </c>
      <c r="C30" s="1"/>
      <c r="E30" s="1"/>
    </row>
    <row r="31" spans="1:5">
      <c r="A31" s="1" t="s">
        <v>37</v>
      </c>
      <c r="B31" s="1" t="str">
        <f ca="1">IF(COUNTIF($D$9:$D$24,31)&gt;0,"Vivo","Morto no naufrágio")</f>
        <v>Morto no naufrágio</v>
      </c>
      <c r="C31" s="1"/>
      <c r="E31" s="1"/>
    </row>
    <row r="32" spans="1:5">
      <c r="A32" s="2" t="s">
        <v>46</v>
      </c>
      <c r="B32" s="1" t="str">
        <f ca="1">IF(COUNTIF($D$9:$D$24,32)&gt;0,"Vivo","Morto no naufrágio")</f>
        <v>Morto no naufrágio</v>
      </c>
      <c r="C32" s="1"/>
      <c r="E32" s="1"/>
    </row>
    <row r="33" spans="1:8">
      <c r="A33" s="1" t="s">
        <v>22</v>
      </c>
      <c r="B33" s="1" t="str">
        <f ca="1">IF(COUNTIF($D$9:$D$24,33)&gt;0,"Vivo","Morto no naufrágio")</f>
        <v>Morto no naufrágio</v>
      </c>
      <c r="C33" s="1"/>
      <c r="E33" s="1"/>
    </row>
    <row r="34" spans="1:8">
      <c r="A34" s="1" t="s">
        <v>25</v>
      </c>
      <c r="B34" s="1" t="str">
        <f ca="1">IF(COUNTIF($D$9:$D$24,34)&gt;0,"Vivo","Morto no naufrágio")</f>
        <v>Morto no naufrágio</v>
      </c>
      <c r="C34" s="1"/>
      <c r="E34" s="1"/>
      <c r="G34" s="1" t="s">
        <v>65</v>
      </c>
      <c r="H34" s="1"/>
    </row>
    <row r="35" spans="1:8">
      <c r="A35" s="2" t="s">
        <v>60</v>
      </c>
      <c r="B35" s="1" t="str">
        <f ca="1">IF(COUNTIF($D$9:$D$24,35)&gt;0,"Vivo","Morto no naufrágio")</f>
        <v>Morto no naufrágio</v>
      </c>
      <c r="C35" s="1"/>
      <c r="E35" s="1"/>
      <c r="G35" s="1" t="s">
        <v>66</v>
      </c>
      <c r="H35" s="11"/>
    </row>
    <row r="36" spans="1:8">
      <c r="A36" s="1" t="s">
        <v>20</v>
      </c>
      <c r="B36" s="1" t="str">
        <f ca="1">IF(COUNTIF($D$9:$D$24,36)&gt;0,"Vivo","Morto no naufrágio")</f>
        <v>Vivo</v>
      </c>
      <c r="C36" s="1"/>
      <c r="E36" s="1"/>
      <c r="G36" s="1" t="s">
        <v>67</v>
      </c>
      <c r="H36" s="11"/>
    </row>
    <row r="37" spans="1:8">
      <c r="A37" s="1" t="s">
        <v>35</v>
      </c>
      <c r="B37" s="1" t="str">
        <f ca="1">IF(COUNTIF($D$9:$D$24,37)&gt;0,"Vivo","Morto no naufrágio")</f>
        <v>Morto no naufrágio</v>
      </c>
      <c r="C37" s="1"/>
      <c r="E37" s="1"/>
      <c r="G37" s="1" t="s">
        <v>70</v>
      </c>
      <c r="H37" s="1"/>
    </row>
    <row r="38" spans="1:8">
      <c r="A38" s="1" t="s">
        <v>39</v>
      </c>
      <c r="B38" s="1" t="str">
        <f ca="1">IF(COUNTIF($D$9:$D$24,38)&gt;0,"Vivo","Morto no naufrágio")</f>
        <v>Vivo</v>
      </c>
      <c r="C38" s="1"/>
      <c r="E38" s="1"/>
    </row>
    <row r="39" spans="1:8">
      <c r="A39" s="1" t="s">
        <v>34</v>
      </c>
      <c r="B39" s="1" t="str">
        <f ca="1">IF(COUNTIF($D$9:$D$24,39)&gt;0,"Vivo","Morto no naufrágio")</f>
        <v>Morto no naufrágio</v>
      </c>
      <c r="C39" s="1"/>
      <c r="E39" s="1"/>
    </row>
    <row r="40" spans="1:8">
      <c r="A40" s="1" t="s">
        <v>24</v>
      </c>
      <c r="B40" s="1" t="str">
        <f ca="1">IF(COUNTIF($D$9:$D$24,40)&gt;0,"Vivo","Morto no naufrágio")</f>
        <v>Morto no naufrágio</v>
      </c>
      <c r="C40" s="1"/>
      <c r="E40" s="1"/>
    </row>
    <row r="41" spans="1:8">
      <c r="A41" s="1" t="s">
        <v>59</v>
      </c>
      <c r="B41" s="1" t="str">
        <f ca="1">IF(COUNTIF($D$9:$D$24,41)&gt;0,"Vivo","Morto no naufrágio")</f>
        <v>Morto no naufrágio</v>
      </c>
      <c r="C41" s="1"/>
      <c r="E41" s="1"/>
    </row>
    <row r="42" spans="1:8">
      <c r="A42" s="1" t="s">
        <v>40</v>
      </c>
      <c r="B42" s="1" t="str">
        <f ca="1">IF(COUNTIF($D$9:$D$24,42)&gt;0,"Vivo","Morto no naufrágio")</f>
        <v>Morto no naufrágio</v>
      </c>
      <c r="C42" s="1"/>
      <c r="E42" s="1"/>
    </row>
    <row r="43" spans="1:8">
      <c r="A43" s="1" t="s">
        <v>32</v>
      </c>
      <c r="B43" s="1" t="str">
        <f ca="1">IF(COUNTIF($D$9:$D$24,43)&gt;0,"Vivo","Morto no naufrágio")</f>
        <v>Morto no naufrágio</v>
      </c>
      <c r="C43" s="1"/>
      <c r="E43" s="1"/>
    </row>
    <row r="44" spans="1:8">
      <c r="A44" s="2" t="s">
        <v>74</v>
      </c>
      <c r="B44" s="5"/>
      <c r="C44" s="1"/>
      <c r="E44" s="1"/>
    </row>
    <row r="45" spans="1:8">
      <c r="A45" s="2" t="s">
        <v>75</v>
      </c>
      <c r="B45" s="13"/>
      <c r="C45" s="1"/>
      <c r="E45" s="1"/>
    </row>
    <row r="46" spans="1:8">
      <c r="A46" s="2" t="s">
        <v>76</v>
      </c>
      <c r="B46" s="13"/>
      <c r="C46" s="1"/>
      <c r="E46" s="1"/>
    </row>
    <row r="47" spans="1:8">
      <c r="A47" s="2" t="s">
        <v>77</v>
      </c>
      <c r="B47" s="13"/>
      <c r="C47" s="1"/>
      <c r="E47" s="1"/>
    </row>
    <row r="48" spans="1:8">
      <c r="A48" s="2" t="s">
        <v>78</v>
      </c>
      <c r="B48" s="13"/>
      <c r="C48" s="1"/>
      <c r="E48" s="1"/>
    </row>
    <row r="49" spans="1:8">
      <c r="A49" s="2" t="s">
        <v>79</v>
      </c>
      <c r="B49" s="13"/>
      <c r="C49" s="1"/>
      <c r="E49" s="1"/>
    </row>
    <row r="50" spans="1:8">
      <c r="A50" s="12"/>
      <c r="B50" s="13"/>
      <c r="C50" s="13"/>
      <c r="E50" s="13"/>
    </row>
    <row r="51" spans="1:8">
      <c r="A51" s="12"/>
      <c r="B51" s="13"/>
      <c r="C51" s="13"/>
      <c r="E51" s="13"/>
    </row>
    <row r="52" spans="1:8">
      <c r="A52" s="12"/>
      <c r="B52" s="13"/>
      <c r="C52" s="13"/>
      <c r="E52" s="13"/>
    </row>
    <row r="53" spans="1:8">
      <c r="A53" s="12"/>
      <c r="B53" s="13"/>
      <c r="C53" s="13"/>
      <c r="E53" s="13"/>
    </row>
    <row r="54" spans="1:8">
      <c r="A54" s="12"/>
      <c r="B54" s="13"/>
      <c r="C54" s="13"/>
      <c r="E54" s="13"/>
    </row>
    <row r="55" spans="1:8">
      <c r="A55" s="12"/>
      <c r="B55" s="13"/>
      <c r="C55" s="13"/>
      <c r="E55" s="13"/>
    </row>
    <row r="56" spans="1:8">
      <c r="A56" s="2" t="s">
        <v>83</v>
      </c>
      <c r="B56" s="13"/>
      <c r="C56" s="13"/>
      <c r="E56" s="13"/>
      <c r="F56" s="1" t="s">
        <v>88</v>
      </c>
      <c r="G56" s="1"/>
      <c r="H56" t="s">
        <v>89</v>
      </c>
    </row>
    <row r="57" spans="1:8">
      <c r="A57" s="2" t="s">
        <v>86</v>
      </c>
      <c r="B57" s="1" t="s">
        <v>87</v>
      </c>
      <c r="C57" s="13"/>
      <c r="E57" s="13"/>
      <c r="F57" s="16"/>
    </row>
    <row r="58" spans="1:8">
      <c r="A58" s="12"/>
      <c r="B58" s="13"/>
      <c r="C58" s="13"/>
      <c r="E58" s="13"/>
    </row>
    <row r="59" spans="1:8">
      <c r="A59" s="12"/>
      <c r="B59" s="13"/>
      <c r="C59" s="13"/>
      <c r="E59" s="13"/>
      <c r="H59" s="16"/>
    </row>
    <row r="60" spans="1:8">
      <c r="A60" s="12"/>
      <c r="B60" s="13"/>
      <c r="C60" s="13"/>
      <c r="E60" s="13"/>
    </row>
    <row r="61" spans="1:8">
      <c r="A61" s="12"/>
      <c r="B61" s="13"/>
      <c r="C61" s="13"/>
      <c r="E61" s="13"/>
    </row>
    <row r="62" spans="1:8">
      <c r="A62" s="12"/>
      <c r="B62" s="13"/>
      <c r="C62" s="13"/>
      <c r="E62" s="13"/>
    </row>
    <row r="63" spans="1:8">
      <c r="A63" s="12"/>
      <c r="B63" s="13"/>
      <c r="C63" s="13"/>
      <c r="E63" s="13"/>
    </row>
    <row r="64" spans="1:8">
      <c r="A64" s="12"/>
      <c r="B64" s="13"/>
      <c r="C64" s="13"/>
      <c r="E64" s="13"/>
    </row>
    <row r="66" spans="1:1">
      <c r="A66" s="1" t="s">
        <v>51</v>
      </c>
    </row>
    <row r="67" spans="1:1">
      <c r="A67" s="1">
        <f ca="1">RANDBETWEEN(1,200)</f>
        <v>75</v>
      </c>
    </row>
    <row r="68" spans="1:1">
      <c r="A68" s="1" t="s">
        <v>52</v>
      </c>
    </row>
    <row r="69" spans="1:1">
      <c r="A69" s="1">
        <f ca="1">RANDBETWEEN(1,200)</f>
        <v>16</v>
      </c>
    </row>
    <row r="70" spans="1:1">
      <c r="A70" s="1" t="s">
        <v>53</v>
      </c>
    </row>
    <row r="71" spans="1:1">
      <c r="A71" s="1">
        <f ca="1">RANDBETWEEN(1,200)</f>
        <v>18</v>
      </c>
    </row>
    <row r="72" spans="1:1">
      <c r="A72" s="1" t="s">
        <v>54</v>
      </c>
    </row>
    <row r="73" spans="1:1">
      <c r="A73" s="1">
        <f ca="1">RANDBETWEEN(1,200)</f>
        <v>194</v>
      </c>
    </row>
    <row r="74" spans="1:1">
      <c r="A74" s="1" t="s">
        <v>55</v>
      </c>
    </row>
    <row r="75" spans="1:1">
      <c r="A75" s="1">
        <f ca="1">RANDBETWEEN(1,200)</f>
        <v>52</v>
      </c>
    </row>
    <row r="76" spans="1:1">
      <c r="A76" s="1" t="s">
        <v>61</v>
      </c>
    </row>
    <row r="77" spans="1:1">
      <c r="A77" s="1"/>
    </row>
    <row r="78" spans="1:1">
      <c r="A78" s="1" t="s">
        <v>62</v>
      </c>
    </row>
    <row r="79" spans="1:1">
      <c r="A79" s="1"/>
    </row>
    <row r="80" spans="1:1">
      <c r="A80" s="1" t="s">
        <v>63</v>
      </c>
    </row>
    <row r="81" spans="1:3">
      <c r="A81" s="1"/>
    </row>
    <row r="82" spans="1:3">
      <c r="A82" s="1" t="s">
        <v>64</v>
      </c>
    </row>
    <row r="83" spans="1:3">
      <c r="A83" s="1"/>
    </row>
    <row r="86" spans="1:3">
      <c r="A86" s="1" t="s">
        <v>65</v>
      </c>
      <c r="B86" s="1" t="s">
        <v>85</v>
      </c>
      <c r="C86" s="1">
        <v>1</v>
      </c>
    </row>
    <row r="87" spans="1:3">
      <c r="A87" s="1" t="s">
        <v>66</v>
      </c>
      <c r="B87" s="11"/>
    </row>
    <row r="88" spans="1:3">
      <c r="A88" s="1" t="s">
        <v>67</v>
      </c>
      <c r="B88" s="14"/>
    </row>
    <row r="89" spans="1:3">
      <c r="A89" s="1" t="s">
        <v>70</v>
      </c>
      <c r="B89" s="1"/>
    </row>
    <row r="119" spans="1:1">
      <c r="A119" t="s">
        <v>82</v>
      </c>
    </row>
    <row r="120" spans="1:1">
      <c r="A120" t="s">
        <v>73</v>
      </c>
    </row>
  </sheetData>
  <sortState ref="A9:A43">
    <sortCondition ref="A43"/>
  </sortState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workbookViewId="0">
      <selection activeCell="H8" sqref="H8"/>
    </sheetView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Ato 1 - Parte 1</vt:lpstr>
      <vt:lpstr>Banco de Dados</vt:lpstr>
      <vt:lpstr>Inventário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Toninho</dc:creator>
  <cp:lastModifiedBy>Toninho</cp:lastModifiedBy>
  <dcterms:created xsi:type="dcterms:W3CDTF">2019-07-26T00:25:29Z</dcterms:created>
  <dcterms:modified xsi:type="dcterms:W3CDTF">2019-09-06T17:51:58Z</dcterms:modified>
</cp:coreProperties>
</file>