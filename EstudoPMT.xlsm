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bsnconnect.com/personal/ne20119_dow_com/Documents/Desktop/PastaTeste/"/>
    </mc:Choice>
  </mc:AlternateContent>
  <xr:revisionPtr revIDLastSave="1435" documentId="8_{0A12F7AE-28C8-4610-AAF9-EC471FA2328C}" xr6:coauthVersionLast="47" xr6:coauthVersionMax="47" xr10:uidLastSave="{51CE68DE-843A-43F8-8579-1AD9442BD11F}"/>
  <bookViews>
    <workbookView xWindow="-110" yWindow="-110" windowWidth="19420" windowHeight="10300" activeTab="1" xr2:uid="{B48D46CC-8959-4D81-8B69-148D3F4E31E3}"/>
  </bookViews>
  <sheets>
    <sheet name="Test" sheetId="1" r:id="rId1"/>
    <sheet name="Application" sheetId="2" r:id="rId2"/>
    <sheet name="Active" sheetId="5" r:id="rId3"/>
    <sheet name="Hist" sheetId="4" r:id="rId4"/>
    <sheet name="Script" sheetId="3" r:id="rId5"/>
    <sheet name="GM" sheetId="6" state="veryHidden" r:id="rId6"/>
  </sheets>
  <definedNames>
    <definedName name="currentOp">Script!$B$7</definedName>
    <definedName name="currentPeriod">Script!$B$8</definedName>
    <definedName name="dynamicTable">Script!$D$3</definedName>
    <definedName name="EventRunner">Script!$B$4</definedName>
    <definedName name="lastOp">Script!$B$6</definedName>
    <definedName name="magicEditor">Script!$B$5</definedName>
    <definedName name="oldValue">Script!$B$3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Application!$E$29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2" l="1"/>
  <c r="J5" i="2"/>
  <c r="I5" i="2" s="1"/>
  <c r="H5" i="2"/>
  <c r="G5" i="2" a="1"/>
  <c r="G5" i="2" s="1"/>
  <c r="A12" i="2" a="1"/>
  <c r="A12" i="2" s="1"/>
  <c r="B12" i="2" s="1"/>
  <c r="O10" i="5"/>
  <c r="Y10" i="5"/>
  <c r="O9" i="5"/>
  <c r="Y9" i="5"/>
  <c r="O8" i="5"/>
  <c r="Y8" i="5"/>
  <c r="O7" i="5"/>
  <c r="Y7" i="5"/>
  <c r="O6" i="5"/>
  <c r="Y6" i="5"/>
  <c r="O5" i="5"/>
  <c r="Y5" i="5"/>
  <c r="O4" i="5"/>
  <c r="Y4" i="5"/>
  <c r="Y3" i="5"/>
  <c r="O3" i="4"/>
  <c r="O3" i="5"/>
  <c r="C12" i="2" l="1"/>
  <c r="B24" i="2"/>
  <c r="B23" i="2"/>
  <c r="J5" i="1" l="1"/>
  <c r="H5" i="1"/>
  <c r="G5" i="1" a="1"/>
  <c r="G5" i="1" s="1"/>
  <c r="L11" i="1" l="1" a="1"/>
  <c r="L11" i="1" s="1"/>
  <c r="L12" i="1" a="1"/>
  <c r="L12" i="1" s="1"/>
  <c r="M12" i="1" s="1"/>
  <c r="L13" i="1" a="1"/>
  <c r="L13" i="1" s="1"/>
  <c r="M13" i="1" s="1"/>
  <c r="L14" i="1" a="1"/>
  <c r="L14" i="1" s="1"/>
  <c r="M14" i="1" s="1"/>
  <c r="L15" i="1" a="1"/>
  <c r="L15" i="1" s="1"/>
  <c r="M15" i="1" s="1"/>
  <c r="L16" i="1" a="1"/>
  <c r="L16" i="1" s="1"/>
  <c r="M16" i="1" s="1"/>
  <c r="L17" i="1" a="1"/>
  <c r="L17" i="1" s="1"/>
  <c r="M17" i="1" s="1"/>
  <c r="W17" i="2"/>
  <c r="W16" i="2"/>
  <c r="W15" i="2"/>
  <c r="A22" i="2" a="1"/>
  <c r="A22" i="2" s="1"/>
  <c r="W14" i="2"/>
  <c r="A21" i="2" a="1"/>
  <c r="A21" i="2" s="1"/>
  <c r="W13" i="2"/>
  <c r="A20" i="2" a="1"/>
  <c r="A20" i="2" s="1"/>
  <c r="W12" i="2"/>
  <c r="A19" i="2" a="1"/>
  <c r="A19" i="2" s="1"/>
  <c r="W11" i="2"/>
  <c r="A18" i="2" a="1"/>
  <c r="A18" i="2" s="1"/>
  <c r="W10" i="2"/>
  <c r="A17" i="2" a="1"/>
  <c r="A17" i="2" s="1"/>
  <c r="W9" i="2"/>
  <c r="A16" i="2" a="1"/>
  <c r="A16" i="2" s="1"/>
  <c r="W8" i="2"/>
  <c r="A15" i="2" a="1"/>
  <c r="A15" i="2" s="1"/>
  <c r="W7" i="2"/>
  <c r="X7" i="2" s="1"/>
  <c r="A14" i="2" a="1"/>
  <c r="A14" i="2" s="1"/>
  <c r="W6" i="2"/>
  <c r="A13" i="2" a="1"/>
  <c r="A13" i="2" s="1"/>
  <c r="G12" i="2"/>
  <c r="W6" i="1"/>
  <c r="W7" i="1"/>
  <c r="X7" i="1" s="1"/>
  <c r="W8" i="1"/>
  <c r="W9" i="1"/>
  <c r="W10" i="1"/>
  <c r="W11" i="1"/>
  <c r="W12" i="1"/>
  <c r="W13" i="1"/>
  <c r="W14" i="1"/>
  <c r="W15" i="1"/>
  <c r="W16" i="1"/>
  <c r="W17" i="1"/>
  <c r="X8" i="2" l="1"/>
  <c r="X9" i="2" s="1"/>
  <c r="X10" i="2" s="1"/>
  <c r="X11" i="2" s="1"/>
  <c r="X12" i="2" s="1"/>
  <c r="X13" i="2" s="1"/>
  <c r="X14" i="2" s="1"/>
  <c r="X15" i="2" s="1"/>
  <c r="X16" i="2" s="1"/>
  <c r="X17" i="2" s="1"/>
  <c r="M11" i="1"/>
  <c r="X8" i="1"/>
  <c r="X9" i="1" s="1"/>
  <c r="B18" i="2"/>
  <c r="B19" i="2"/>
  <c r="B14" i="2"/>
  <c r="B20" i="2"/>
  <c r="B15" i="2"/>
  <c r="B16" i="2"/>
  <c r="B22" i="2"/>
  <c r="B17" i="2"/>
  <c r="B21" i="2"/>
  <c r="B13" i="2"/>
  <c r="L5" i="1" a="1"/>
  <c r="L5" i="1" s="1"/>
  <c r="M5" i="1" s="1"/>
  <c r="L6" i="1" a="1"/>
  <c r="L6" i="1" s="1"/>
  <c r="M6" i="1" s="1"/>
  <c r="L7" i="1" a="1"/>
  <c r="L7" i="1" s="1"/>
  <c r="L8" i="1" a="1"/>
  <c r="L8" i="1" s="1"/>
  <c r="L9" i="1" a="1"/>
  <c r="L9" i="1" s="1"/>
  <c r="L10" i="1" a="1"/>
  <c r="L10" i="1" s="1"/>
  <c r="F12" i="2" l="1"/>
  <c r="C13" i="2" s="1"/>
  <c r="F13" i="2" s="1"/>
  <c r="X10" i="1"/>
  <c r="X11" i="1" s="1"/>
  <c r="X12" i="1" s="1"/>
  <c r="X13" i="1" s="1"/>
  <c r="X14" i="1" s="1"/>
  <c r="X15" i="1" s="1"/>
  <c r="X16" i="1" s="1"/>
  <c r="X17" i="1" s="1"/>
  <c r="R5" i="1"/>
  <c r="M7" i="1"/>
  <c r="M8" i="1"/>
  <c r="M10" i="1"/>
  <c r="M9" i="1"/>
  <c r="N5" i="1"/>
  <c r="C14" i="2" l="1"/>
  <c r="F14" i="2" s="1"/>
  <c r="G13" i="2"/>
  <c r="Q5" i="1"/>
  <c r="N6" i="1" s="1"/>
  <c r="C15" i="2" l="1"/>
  <c r="F15" i="2" s="1"/>
  <c r="G14" i="2"/>
  <c r="Q6" i="1"/>
  <c r="R6" i="1" s="1"/>
  <c r="C16" i="2" l="1"/>
  <c r="F16" i="2" s="1"/>
  <c r="G16" i="2" s="1"/>
  <c r="G15" i="2"/>
  <c r="N7" i="1"/>
  <c r="Q7" i="1" s="1"/>
  <c r="C17" i="2" l="1"/>
  <c r="F17" i="2" s="1"/>
  <c r="R7" i="1"/>
  <c r="N8" i="1"/>
  <c r="Q8" i="1" s="1"/>
  <c r="C18" i="2" l="1"/>
  <c r="F18" i="2" s="1"/>
  <c r="G18" i="2" s="1"/>
  <c r="G17" i="2"/>
  <c r="R8" i="1"/>
  <c r="N9" i="1"/>
  <c r="Q9" i="1" s="1"/>
  <c r="C19" i="2" l="1"/>
  <c r="F19" i="2" s="1"/>
  <c r="R9" i="1"/>
  <c r="N10" i="1"/>
  <c r="Q10" i="1" s="1"/>
  <c r="N11" i="1" l="1"/>
  <c r="Q11" i="1" s="1"/>
  <c r="C20" i="2"/>
  <c r="F20" i="2" s="1"/>
  <c r="G19" i="2"/>
  <c r="R10" i="1"/>
  <c r="N12" i="1" l="1"/>
  <c r="Q12" i="1" s="1"/>
  <c r="R12" i="1" s="1"/>
  <c r="R11" i="1"/>
  <c r="C21" i="2"/>
  <c r="F21" i="2" s="1"/>
  <c r="G21" i="2" s="1"/>
  <c r="G20" i="2"/>
  <c r="N13" i="1" l="1"/>
  <c r="Q13" i="1" s="1"/>
  <c r="C22" i="2"/>
  <c r="F22" i="2" s="1"/>
  <c r="C23" i="2" l="1"/>
  <c r="F23" i="2" s="1"/>
  <c r="G22" i="2"/>
  <c r="N14" i="1"/>
  <c r="Q14" i="1" s="1"/>
  <c r="R14" i="1" s="1"/>
  <c r="R13" i="1"/>
  <c r="C24" i="2" l="1"/>
  <c r="F24" i="2" s="1"/>
  <c r="G24" i="2" s="1"/>
  <c r="G23" i="2"/>
  <c r="N15" i="1"/>
  <c r="Q15" i="1" s="1"/>
  <c r="N16" i="1" l="1"/>
  <c r="Q16" i="1" s="1"/>
  <c r="R15" i="1"/>
  <c r="N17" i="1" l="1"/>
  <c r="Q17" i="1" s="1"/>
  <c r="R17" i="1" s="1"/>
  <c r="R16" i="1"/>
  <c r="I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<sst xmlns="http://schemas.openxmlformats.org/spreadsheetml/2006/main" count="168" uniqueCount="55">
  <si>
    <t>Valor inicial</t>
  </si>
  <si>
    <t>Período</t>
  </si>
  <si>
    <t>Tipo de período</t>
  </si>
  <si>
    <t>Períodos</t>
  </si>
  <si>
    <t>MONTH</t>
  </si>
  <si>
    <t>Parcela PMT</t>
  </si>
  <si>
    <t>Juros (%)</t>
  </si>
  <si>
    <t>Inputs</t>
  </si>
  <si>
    <t>Outputs</t>
  </si>
  <si>
    <t>Valor final</t>
  </si>
  <si>
    <t>Sem amortização</t>
  </si>
  <si>
    <t>Com amortização</t>
  </si>
  <si>
    <t>Início</t>
  </si>
  <si>
    <t>Fim</t>
  </si>
  <si>
    <t>Valores Constantes</t>
  </si>
  <si>
    <t>Valores Dinâmicos</t>
  </si>
  <si>
    <t>Valor dinâmico</t>
  </si>
  <si>
    <t>Valores adicionais</t>
  </si>
  <si>
    <t>Correção</t>
  </si>
  <si>
    <t>Pagamento</t>
  </si>
  <si>
    <t>Status</t>
  </si>
  <si>
    <t>Data do empréstimo</t>
  </si>
  <si>
    <t>OK</t>
  </si>
  <si>
    <t>PENDING</t>
  </si>
  <si>
    <t>Pago</t>
  </si>
  <si>
    <t>Remanescente</t>
  </si>
  <si>
    <t>PMT:</t>
  </si>
  <si>
    <t>Mês</t>
  </si>
  <si>
    <t>Montante</t>
  </si>
  <si>
    <t>Aplicado</t>
  </si>
  <si>
    <t>Dia do pagamento</t>
  </si>
  <si>
    <t>Operation</t>
  </si>
  <si>
    <t>Date</t>
  </si>
  <si>
    <t>Time</t>
  </si>
  <si>
    <t>Period</t>
  </si>
  <si>
    <t>Change</t>
  </si>
  <si>
    <t>Old Value</t>
  </si>
  <si>
    <t>New Value</t>
  </si>
  <si>
    <t>User</t>
  </si>
  <si>
    <t>Devedor</t>
  </si>
  <si>
    <t>Operação</t>
  </si>
  <si>
    <t>Script Variables Headers</t>
  </si>
  <si>
    <t>Script Variables Values</t>
  </si>
  <si>
    <t>Script Tables</t>
  </si>
  <si>
    <t>Old Value for GM:</t>
  </si>
  <si>
    <t>Event Runner:</t>
  </si>
  <si>
    <t>Magic Editor:</t>
  </si>
  <si>
    <t>Last Operation:</t>
  </si>
  <si>
    <t>Current Operation:</t>
  </si>
  <si>
    <t>Current Period:</t>
  </si>
  <si>
    <t>Key</t>
  </si>
  <si>
    <t>opRow</t>
  </si>
  <si>
    <t>Pay Day</t>
  </si>
  <si>
    <t>15/10/2024</t>
  </si>
  <si>
    <t>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</si>
</sst>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R$&quot;\ #,##0.00;[Red]\-&quot;R$&quot;\ #,##0.00"/>
    <numFmt numFmtId="164" formatCode="0.000%"/>
    <numFmt numFmtId="165" formatCode="_-[$R$-416]\ * #,##0.00_-;\-[$R$-416]\ * #,##0.00_-;_-[$R$-416]\ * &quot;-&quot;??_-;_-@_-"/>
    <numFmt numFmtId="166" formatCode="_-[$R$-416]\ * #,##0.000_-;\-[$R$-416]\ * #,##0.000_-;_-[$R$-416]\ * &quot;-&quot;???_-;_-@_-"/>
    <numFmt numFmtId="167" formatCode="_-[$R$-416]\ * #,##0.00_-;\-[$R$-416]\ * #,##0.00_-;_-[$R$-416]\ * &quot;-&quot;???_-;_-@_-"/>
    <numFmt numFmtId="168" formatCode="&quot;R$&quot;\ 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theme="5" tint="-0.499984740745262"/>
      <name val="Aptos Narrow"/>
      <family val="2"/>
      <scheme val="minor"/>
    </font>
    <font>
      <sz val="11"/>
      <color rgb="FFE8003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9D9D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Dashed">
        <color theme="0"/>
      </bottom>
      <diagonal/>
    </border>
    <border>
      <left/>
      <right/>
      <top style="mediumDashed">
        <color rgb="FF00B050"/>
      </top>
      <bottom/>
      <diagonal/>
    </border>
    <border>
      <left style="mediumDashed">
        <color indexed="64"/>
      </left>
      <right/>
      <top/>
      <bottom style="mediumDashed">
        <color rgb="FF0070C0"/>
      </bottom>
      <diagonal/>
    </border>
    <border>
      <left/>
      <right/>
      <top/>
      <bottom style="mediumDashed">
        <color rgb="FF0070C0"/>
      </bottom>
      <diagonal/>
    </border>
    <border>
      <left/>
      <right/>
      <top style="mediumDashed">
        <color rgb="FF00B050"/>
      </top>
      <bottom style="mediumDashed">
        <color theme="0"/>
      </bottom>
      <diagonal/>
    </border>
    <border>
      <left/>
      <right/>
      <top/>
      <bottom style="mediumDashed">
        <color rgb="FF7030A0"/>
      </bottom>
      <diagonal/>
    </border>
    <border>
      <left/>
      <right/>
      <top/>
      <bottom style="mediumDashed">
        <color rgb="FFC00000"/>
      </bottom>
      <diagonal/>
    </border>
    <border>
      <left/>
      <right/>
      <top style="mediumDashed">
        <color rgb="FF00B050"/>
      </top>
      <bottom style="mediumDashed">
        <color theme="5" tint="-0.499984740745262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 style="mediumDashed">
        <color theme="1"/>
      </right>
      <top style="mediumDashed">
        <color theme="1"/>
      </top>
      <bottom/>
      <diagonal/>
    </border>
    <border>
      <left style="mediumDashed">
        <color theme="1"/>
      </left>
      <right/>
      <top/>
      <bottom/>
      <diagonal/>
    </border>
    <border>
      <left/>
      <right style="mediumDashed">
        <color theme="1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2" borderId="0" xfId="0" applyFont="1" applyFill="1"/>
    <xf numFmtId="165" fontId="2" fillId="2" borderId="0" xfId="0" applyNumberFormat="1" applyFont="1" applyFill="1"/>
    <xf numFmtId="164" fontId="2" fillId="2" borderId="0" xfId="1" applyNumberFormat="1" applyFont="1" applyFill="1"/>
    <xf numFmtId="0" fontId="2" fillId="2" borderId="2" xfId="0" applyFont="1" applyFill="1" applyBorder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6" fontId="2" fillId="2" borderId="0" xfId="0" applyNumberFormat="1" applyFont="1" applyFill="1"/>
    <xf numFmtId="0" fontId="0" fillId="0" borderId="0" xfId="0" applyAlignment="1">
      <alignment horizontal="center"/>
    </xf>
    <xf numFmtId="167" fontId="0" fillId="0" borderId="0" xfId="0" applyNumberFormat="1"/>
    <xf numFmtId="8" fontId="2" fillId="2" borderId="0" xfId="0" applyNumberFormat="1" applyFont="1" applyFill="1"/>
    <xf numFmtId="1" fontId="2" fillId="2" borderId="0" xfId="1" applyNumberFormat="1" applyFont="1" applyFill="1"/>
    <xf numFmtId="167" fontId="2" fillId="2" borderId="0" xfId="0" applyNumberFormat="1" applyFont="1" applyFill="1"/>
    <xf numFmtId="0" fontId="8" fillId="2" borderId="9" xfId="0" applyFont="1" applyFill="1" applyBorder="1"/>
    <xf numFmtId="0" fontId="8" fillId="2" borderId="10" xfId="0" applyFont="1" applyFill="1" applyBorder="1"/>
    <xf numFmtId="0" fontId="8" fillId="2" borderId="11" xfId="0" applyFont="1" applyFill="1" applyBorder="1"/>
    <xf numFmtId="165" fontId="0" fillId="3" borderId="12" xfId="0" applyNumberFormat="1" applyFill="1" applyBorder="1"/>
    <xf numFmtId="164" fontId="0" fillId="3" borderId="0" xfId="1" applyNumberFormat="1" applyFont="1" applyFill="1" applyBorder="1"/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5" fontId="0" fillId="3" borderId="0" xfId="0" applyNumberFormat="1" applyFill="1"/>
    <xf numFmtId="165" fontId="0" fillId="3" borderId="13" xfId="0" applyNumberFormat="1" applyFill="1" applyBorder="1"/>
    <xf numFmtId="165" fontId="0" fillId="0" borderId="0" xfId="0" applyNumberFormat="1"/>
    <xf numFmtId="164" fontId="0" fillId="0" borderId="0" xfId="1" applyNumberFormat="1" applyFont="1" applyFill="1" applyBorder="1"/>
    <xf numFmtId="1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/>
    <xf numFmtId="168" fontId="0" fillId="0" borderId="0" xfId="0" applyNumberFormat="1"/>
    <xf numFmtId="168" fontId="2" fillId="2" borderId="0" xfId="0" applyNumberFormat="1" applyFont="1" applyFill="1"/>
    <xf numFmtId="165" fontId="0" fillId="0" borderId="0" xfId="0" applyNumberFormat="1" applyAlignment="1">
      <alignment horizontal="center"/>
    </xf>
    <xf numFmtId="1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%"/>
      <fill>
        <patternFill patternType="none">
          <fgColor indexed="64"/>
          <bgColor indexed="65"/>
        </patternFill>
      </fill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" formatCode="0"/>
      <alignment horizontal="center" vertical="bottom" textRotation="0" wrapText="0" indent="0" justifyLastLine="0" shrinkToFit="0" readingOrder="0"/>
    </dxf>
    <dxf>
      <border>
        <left style="mediumDashed">
          <color rgb="FFD9D9D9"/>
        </left>
        <right style="mediumDashed">
          <color rgb="FF415364"/>
        </right>
        <vertical/>
        <horizontal/>
      </border>
    </dxf>
    <dxf>
      <font>
        <color rgb="FFD9D9D9"/>
      </font>
      <fill>
        <patternFill>
          <bgColor rgb="FF415364"/>
        </patternFill>
      </fill>
      <border>
        <left style="mediumDashed">
          <color theme="1"/>
        </left>
        <right style="mediumDashed">
          <color theme="1"/>
        </right>
      </border>
    </dxf>
    <dxf>
      <fill>
        <patternFill>
          <bgColor rgb="FFD9D9D9"/>
        </patternFill>
      </fill>
      <border>
        <left style="mediumDashed">
          <color theme="1"/>
        </left>
        <right style="mediumDashed">
          <color theme="1"/>
        </right>
      </border>
    </dxf>
    <dxf>
      <font>
        <color rgb="FFE80033"/>
      </font>
      <fill>
        <patternFill>
          <bgColor theme="1"/>
        </patternFill>
      </fill>
      <border>
        <left style="mediumDashed">
          <color theme="1"/>
        </left>
        <right style="mediumDashed">
          <color theme="1"/>
        </right>
        <bottom style="mediumDashed">
          <color theme="1"/>
        </bottom>
        <vertical/>
        <horizontal/>
      </border>
    </dxf>
    <dxf>
      <font>
        <color rgb="FFE80033"/>
      </font>
      <fill>
        <patternFill>
          <bgColor theme="1"/>
        </patternFill>
      </fill>
      <border>
        <left style="mediumDashed">
          <color theme="1"/>
        </left>
        <right style="mediumDashed">
          <color theme="1"/>
        </right>
        <top style="mediumDashed">
          <color theme="1"/>
        </top>
        <vertical/>
        <horizontal/>
      </border>
    </dxf>
  </dxfs>
  <tableStyles count="1" defaultTableStyle="TableStyleMedium2" defaultPivotStyle="PivotStyleLight16">
    <tableStyle name="NE20119/1" pivot="0" count="5" xr9:uid="{BB279EBE-5E00-46F2-BF0A-69C6C4038FE9}">
      <tableStyleElement type="headerRow" dxfId="20"/>
      <tableStyleElement type="totalRow" dxfId="19"/>
      <tableStyleElement type="firstRowStripe" dxfId="18"/>
      <tableStyleElement type="secondRowStripe" dxfId="17"/>
      <tableStyleElement type="firstColumn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82784A-040C-4A8B-B848-FC21B41506A7}" name="dynamic" displayName="dynamic" ref="L4:S17" totalsRowShown="0">
  <autoFilter ref="L4:S17" xr:uid="{6F82784A-040C-4A8B-B848-FC21B41506A7}"/>
  <tableColumns count="8">
    <tableColumn id="1" xr3:uid="{F4FBAC03-E8AB-4367-B28B-CE49CD7BF753}" name="Período">
      <calculatedColumnFormula array="1">CELL("row",dynamic[[#This Row],[Pago]])-CELL("row",dynamic[#Headers])-1</calculatedColumnFormula>
    </tableColumn>
    <tableColumn id="2" xr3:uid="{4082E9EC-1F71-4E85-950D-07D0D2F35A3A}" name="Sem amortização">
      <calculatedColumnFormula>IF($L5&gt;$C$5,$H$5,$A$5*(1+$B$5)^$L5)</calculatedColumnFormula>
    </tableColumn>
    <tableColumn id="3" xr3:uid="{8E22FF1E-6E6F-40A3-BBFC-FBC9278F2F7B}" name="Com amortização">
      <calculatedColumnFormula>IFERROR(IF(L5=0,$M5,$Q4*(1+$B$5)*(1-1/(1+$C$5-$L5))),0)</calculatedColumnFormula>
    </tableColumn>
    <tableColumn id="4" xr3:uid="{F1BD7C78-F063-4D75-B059-760AFDF32BE1}" name="Valores adicionais"/>
    <tableColumn id="5" xr3:uid="{8578E4B7-524F-4757-8156-5DB35A5E51DC}" name="Correção"/>
    <tableColumn id="6" xr3:uid="{879CC648-D6A8-47B2-AE5D-22CF5287288A}" name="Remanescente">
      <calculatedColumnFormula>$N5-$O5+$P$5</calculatedColumnFormula>
    </tableColumn>
    <tableColumn id="7" xr3:uid="{6CB11ADF-3ECB-4C33-BB81-CCB65E403A23}" name="Pago">
      <calculatedColumnFormula>IF(L5=0,0,Q4*(1+$B$5)-Q5)</calculatedColumnFormula>
    </tableColumn>
    <tableColumn id="8" xr3:uid="{C44B0D92-CE04-4ADE-A308-935437657AD4}" name="Status"/>
  </tableColumns>
  <tableStyleInfo name="NE20119/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D69CB1-068D-45C1-8094-89C013307D99}" name="dynamic3" displayName="dynamic3" ref="A11:I24" totalsRowShown="0">
  <autoFilter ref="A11:I24" xr:uid="{14D69CB1-068D-45C1-8094-89C013307D99}"/>
  <tableColumns count="9">
    <tableColumn id="1" xr3:uid="{C11E0741-1636-4652-89FA-1DF9D2E8305A}" name="Período">
      <calculatedColumnFormula array="1">CELL("row",dynamic3[[#This Row],[Pago]])-CELL("row",dynamic3[#Headers])-1</calculatedColumnFormula>
    </tableColumn>
    <tableColumn id="2" xr3:uid="{53849069-80EF-4688-8309-8B15AF7674B3}" name="Sem amortização">
      <calculatedColumnFormula>IF($A12&gt;$C$5,$H$5,$A$5*(1+$B$5)^$A12)</calculatedColumnFormula>
    </tableColumn>
    <tableColumn id="3" xr3:uid="{C82FBD8D-A33C-41E5-8C84-3C2F819272BB}" name="Com amortização">
      <calculatedColumnFormula>IFERROR(IF(A12=0,$B12,$F11*(1+$B$5)*(1-1/(1+$C$5-$A12))),0)</calculatedColumnFormula>
    </tableColumn>
    <tableColumn id="4" xr3:uid="{7918251F-C86E-442E-8F4D-6DB7E7E81A87}" name="Valores adicionais"/>
    <tableColumn id="5" xr3:uid="{ACA5A9C5-ED50-4B0D-8BB1-A2088E59DF73}" name="Correção"/>
    <tableColumn id="6" xr3:uid="{83243A12-3737-4B8E-BE8A-79F8DF58F785}" name="Remanescente">
      <calculatedColumnFormula>$C12-$D12+$E$12</calculatedColumnFormula>
    </tableColumn>
    <tableColumn id="7" xr3:uid="{27355A53-EA5D-46AD-8D99-6B4521C20D62}" name="Pago">
      <calculatedColumnFormula>IF(A12=0,0,F11*(1+$B$5)-F12)</calculatedColumnFormula>
    </tableColumn>
    <tableColumn id="8" xr3:uid="{447BAE46-277A-4640-9ADA-ABAFCBB5A50C}" name="Status"/>
    <tableColumn id="9" xr3:uid="{55E95EE2-A144-4139-88CD-369FFAEEA944}" name="Dia do pagamento"/>
  </tableColumns>
  <tableStyleInfo name="NE20119/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EC2A6C-8DAF-4767-8FC4-43D56FE7CE15}" name="Ops" displayName="Ops" ref="A2:L7" totalsRowShown="0">
  <autoFilter ref="A2:L7" xr:uid="{A5EC2A6C-8DAF-4767-8FC4-43D56FE7CE15}"/>
  <tableColumns count="12">
    <tableColumn id="1" xr3:uid="{E6A0F109-E680-4ACD-859D-636C967BC3A9}" name="Operation"/>
    <tableColumn id="2" xr3:uid="{F766955E-4FA0-47BE-AA62-8801BC49378D}" name="Valor inicial"/>
    <tableColumn id="3" xr3:uid="{0C8B69BB-01F5-49D5-BEF3-BC04D73E1215}" name="Juros (%)"/>
    <tableColumn id="4" xr3:uid="{62D45CA1-80DD-4A7A-B3D4-55ACBE65848E}" name="Períodos" dataDxfId="15"/>
    <tableColumn id="5" xr3:uid="{38A67F6E-7480-4F61-B5E9-16EF0A91F5DE}" name="Tipo de período"/>
    <tableColumn id="6" xr3:uid="{E3508179-FD48-4249-BBAB-98F3D1FB7FB5}" name="Data do empréstimo"/>
    <tableColumn id="7" xr3:uid="{BF67BFB4-0593-4066-84C9-AD402F2A5995}" name="Início"/>
    <tableColumn id="8" xr3:uid="{237B4FCC-35AA-49F9-984D-9C89F02FD803}" name="Fim"/>
    <tableColumn id="9" xr3:uid="{317FA9B5-0D60-4B11-AC66-7F68586DF7BC}" name="Sem amortização"/>
    <tableColumn id="10" xr3:uid="{0F387732-2197-491E-B5EB-D8E6AEB861D6}" name="Com amortização"/>
    <tableColumn id="11" xr3:uid="{03686F24-D5C8-4A04-A204-9DB7641980C0}" name="Parcela PMT"/>
    <tableColumn id="12" xr3:uid="{744D8D8A-A269-4510-948E-B4874FA0A8FA}" name="Devedor"/>
  </tableColumns>
  <tableStyleInfo name="NE20119/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9733CE-9873-45BA-B3A8-1F734050E503}" name="OpsData" displayName="OpsData" ref="O2:Z10" totalsRowShown="0">
  <autoFilter ref="O2:Z10" xr:uid="{AD9733CE-9873-45BA-B3A8-1F734050E503}"/>
  <tableColumns count="12">
    <tableColumn id="10" xr3:uid="{8CBA6BBD-CBA6-49D2-8DE9-BE3163EBD2AA}" name="Key">
      <calculatedColumnFormula>"Op"&amp;OpsData[[#This Row],[Operation]]&amp;"No"&amp;IF(ISBLANK(OpsData[[#This Row],[Período]]),"0",OpsData[[#This Row],[Período]])</calculatedColumnFormula>
    </tableColumn>
    <tableColumn id="1" xr3:uid="{0CA0B91E-1848-456F-8B46-4860B9CC5C19}" name="Operation"/>
    <tableColumn id="2" xr3:uid="{4EA7ED7B-5FD0-4172-9F7B-869696235599}" name="Período"/>
    <tableColumn id="3" xr3:uid="{60CC1F3E-97F2-4B31-8585-E9AF0DE755A6}" name="Sem amortização" dataDxfId="14"/>
    <tableColumn id="4" xr3:uid="{AF7C88EF-997A-4BC0-AC9A-2D1BEAD0FCA8}" name="Com amortização" dataDxfId="13"/>
    <tableColumn id="5" xr3:uid="{8FDD61AE-8AA7-4171-A44E-5EFECE0B3470}" name="Valores adicionais" dataDxfId="12"/>
    <tableColumn id="6" xr3:uid="{0AFEA1AA-F0E5-4CB2-B21E-A48274EDD914}" name="Correção" dataDxfId="11"/>
    <tableColumn id="7" xr3:uid="{41F1621F-3DE6-4D75-9B35-0526D68F5F74}" name="Remanescente" dataDxfId="10"/>
    <tableColumn id="8" xr3:uid="{753AF37E-158A-4E43-9592-C2DD38CFE7E6}" name="Pago" dataDxfId="9"/>
    <tableColumn id="9" xr3:uid="{09E2FFC9-8BB8-4A0D-8F4A-0EC1EF83A3DD}" name="Status"/>
    <tableColumn id="11" xr3:uid="{94EFE520-13C0-47B8-A44D-772025B35A6D}" name="opRow">
      <calculatedColumnFormula>ROW()</calculatedColumnFormula>
    </tableColumn>
    <tableColumn id="12" xr3:uid="{5BF796C7-2FDE-495E-9B07-3682E56267DE}" name="Pay Day"/>
  </tableColumns>
  <tableStyleInfo name="NE20119/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707C35-F40B-46A4-87BA-115C5B04CE1E}" name="PastOps" displayName="PastOps" ref="A2:L3" totalsRowShown="0">
  <autoFilter ref="A2:L3" xr:uid="{22707C35-F40B-46A4-87BA-115C5B04CE1E}"/>
  <tableColumns count="12">
    <tableColumn id="1" xr3:uid="{DA140460-84FC-44DC-927A-2444D4FF8B05}" name="Operation" dataDxfId="8"/>
    <tableColumn id="2" xr3:uid="{B1EB14F7-168F-4760-933A-D7AD9FB27B89}" name="Valor inicial" dataDxfId="7"/>
    <tableColumn id="3" xr3:uid="{B2E7AAEF-6CD0-4A80-8E7C-F572BD8C36F9}" name="Juros (%)" dataDxfId="6" dataCellStyle="Percent"/>
    <tableColumn id="4" xr3:uid="{A0510049-4E0B-48BD-9952-E164926F76CF}" name="Períodos" dataDxfId="5"/>
    <tableColumn id="5" xr3:uid="{330809C5-7473-40E5-9CCB-ACBA46315DAA}" name="Tipo de período" dataDxfId="4"/>
    <tableColumn id="6" xr3:uid="{24C42851-0155-414F-A8FF-3B06D2DC4514}" name="Data do empréstimo" dataDxfId="3"/>
    <tableColumn id="7" xr3:uid="{D64720FA-090D-4340-A8DC-A03538DE6814}" name="Início" dataDxfId="2"/>
    <tableColumn id="8" xr3:uid="{568AE3EC-9E38-4078-AA50-839632144A66}" name="Fim" dataDxfId="1"/>
    <tableColumn id="9" xr3:uid="{6F2AB9F9-2BDB-43AE-94C5-BAE060652A60}" name="Sem amortização"/>
    <tableColumn id="10" xr3:uid="{E9B1BF2C-5FE1-4EA7-9EA5-272FA7C67DA2}" name="Com amortização"/>
    <tableColumn id="11" xr3:uid="{3FA8A34F-6CC0-4F33-B38C-05354C651D3D}" name="Parcela PMT"/>
    <tableColumn id="12" xr3:uid="{1C9633FA-F884-422E-81E7-0B91CBF55D65}" name="Devedor"/>
  </tableColumns>
  <tableStyleInfo name="NE20119/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155F0E-E8F1-4825-895A-FA2E2F7980F7}" name="PastOpsData" displayName="PastOpsData" ref="O2:X3" totalsRowShown="0">
  <autoFilter ref="O2:X3" xr:uid="{C2155F0E-E8F1-4825-895A-FA2E2F7980F7}"/>
  <tableColumns count="10">
    <tableColumn id="10" xr3:uid="{6EDCEF32-9FEF-4E03-801B-DA70E8F462F8}" name="Key" dataDxfId="0">
      <calculatedColumnFormula>"Op"&amp;OpsData[[#This Row],[Operation]]&amp;"No"&amp;IF(ISBLANK(OpsData[[#This Row],[Período]]),"0",OpsData[[#This Row],[Período]])</calculatedColumnFormula>
    </tableColumn>
    <tableColumn id="1" xr3:uid="{A8E3F1AD-A459-4DDC-8217-FAB31617C5D1}" name="Operation"/>
    <tableColumn id="2" xr3:uid="{7D422AF8-CFB2-4257-AB3B-F8183AC7141D}" name="Período"/>
    <tableColumn id="3" xr3:uid="{E7E1A301-5AFC-4311-8EE8-164F944CA165}" name="Sem amortização"/>
    <tableColumn id="4" xr3:uid="{E957215A-9DE7-42CF-824A-0AAD96218777}" name="Com amortização"/>
    <tableColumn id="5" xr3:uid="{7D28E4C5-C38C-4487-89E2-BBE208AF23AC}" name="Valores adicionais"/>
    <tableColumn id="6" xr3:uid="{26D9E46F-9E6E-4036-8964-63182D573C17}" name="Correção"/>
    <tableColumn id="7" xr3:uid="{55A5C0BE-3A33-49A4-AE09-7E25E2125260}" name="Remanescente"/>
    <tableColumn id="8" xr3:uid="{AA80746C-4FE6-4A72-A2B2-152A01C62ED8}" name="Pago"/>
    <tableColumn id="9" xr3:uid="{F047E014-486D-4CBF-AF4A-E922FA8C842D}" name="Status"/>
  </tableColumns>
  <tableStyleInfo name="NE20119/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CA50-D127-4F77-B99E-6F90AA7B353E}">
  <sheetPr codeName="Sheet1"/>
  <dimension ref="A1:X17"/>
  <sheetViews>
    <sheetView workbookViewId="0">
      <selection activeCell="J5" sqref="J5"/>
    </sheetView>
  </sheetViews>
  <sheetFormatPr defaultRowHeight="14.5" x14ac:dyDescent="0.35"/>
  <cols>
    <col min="1" max="1" width="12.7265625" style="1" customWidth="1"/>
    <col min="2" max="2" width="11" style="1" customWidth="1"/>
    <col min="3" max="3" width="11.36328125" style="1" customWidth="1"/>
    <col min="4" max="4" width="22.1796875" style="1" bestFit="1" customWidth="1"/>
    <col min="5" max="5" width="19.6328125" style="1" bestFit="1" customWidth="1"/>
    <col min="6" max="6" width="11.08984375" style="1" customWidth="1"/>
    <col min="7" max="7" width="14.36328125" style="1" customWidth="1"/>
    <col min="8" max="8" width="17.1796875" style="1" customWidth="1"/>
    <col min="9" max="9" width="17.36328125" style="1" customWidth="1"/>
    <col min="10" max="10" width="12.90625" style="1" customWidth="1"/>
    <col min="11" max="11" width="5.08984375" style="1" customWidth="1"/>
    <col min="12" max="12" width="10.36328125" style="1" customWidth="1"/>
    <col min="13" max="13" width="17.1796875" style="1" customWidth="1"/>
    <col min="14" max="14" width="17.36328125" style="1" customWidth="1"/>
    <col min="15" max="15" width="18.08984375" style="1" customWidth="1"/>
    <col min="16" max="16" width="11.08984375" style="1" customWidth="1"/>
    <col min="17" max="17" width="17.6328125" style="1" bestFit="1" customWidth="1"/>
    <col min="18" max="18" width="13.81640625" style="1" customWidth="1"/>
    <col min="19" max="19" width="10.7265625" style="1" customWidth="1"/>
    <col min="20" max="20" width="12.6328125" style="1" bestFit="1" customWidth="1"/>
    <col min="21" max="21" width="8.7265625" style="1"/>
    <col min="22" max="22" width="9.90625" style="1" customWidth="1"/>
    <col min="23" max="23" width="10.7265625" style="1" customWidth="1"/>
    <col min="24" max="24" width="11.6328125" style="1" bestFit="1" customWidth="1"/>
    <col min="25" max="16384" width="8.7265625" style="1"/>
  </cols>
  <sheetData>
    <row r="1" spans="1:24" ht="22.5" customHeight="1" thickBot="1" x14ac:dyDescent="0.4">
      <c r="A1" s="40" t="s">
        <v>14</v>
      </c>
      <c r="B1" s="40"/>
      <c r="C1" s="40"/>
      <c r="D1" s="40"/>
      <c r="E1" s="40"/>
      <c r="F1" s="40"/>
      <c r="G1" s="40"/>
      <c r="H1" s="40"/>
      <c r="I1" s="40"/>
      <c r="J1" s="40"/>
      <c r="K1" s="6"/>
      <c r="L1" s="38" t="s">
        <v>15</v>
      </c>
      <c r="M1" s="38"/>
      <c r="N1" s="38"/>
      <c r="O1" s="38"/>
      <c r="P1" s="38"/>
      <c r="Q1" s="38"/>
      <c r="R1" s="38"/>
      <c r="S1" s="38"/>
    </row>
    <row r="2" spans="1:24" ht="22.5" customHeight="1" thickBot="1" x14ac:dyDescent="0.4">
      <c r="A2" s="33" t="s">
        <v>7</v>
      </c>
      <c r="B2" s="34"/>
      <c r="C2" s="34"/>
      <c r="D2" s="34"/>
      <c r="E2" s="34"/>
      <c r="F2" s="34"/>
      <c r="G2" s="35" t="s">
        <v>8</v>
      </c>
      <c r="H2" s="35"/>
      <c r="I2" s="35"/>
      <c r="J2" s="35"/>
      <c r="K2" s="5"/>
    </row>
    <row r="3" spans="1:24" ht="22.5" customHeight="1" thickBot="1" x14ac:dyDescent="0.4">
      <c r="F3" s="37" t="s">
        <v>19</v>
      </c>
      <c r="G3" s="37"/>
      <c r="H3" s="39" t="s">
        <v>9</v>
      </c>
      <c r="I3" s="39"/>
      <c r="J3" s="4"/>
      <c r="M3" s="36" t="s">
        <v>16</v>
      </c>
      <c r="N3" s="36"/>
      <c r="V3" s="1" t="s">
        <v>26</v>
      </c>
      <c r="W3" s="1">
        <v>103.18</v>
      </c>
    </row>
    <row r="4" spans="1:24" x14ac:dyDescent="0.35">
      <c r="A4" s="13" t="s">
        <v>0</v>
      </c>
      <c r="B4" s="14" t="s">
        <v>6</v>
      </c>
      <c r="C4" s="14" t="s">
        <v>3</v>
      </c>
      <c r="D4" s="14" t="s">
        <v>2</v>
      </c>
      <c r="E4" s="14" t="s">
        <v>21</v>
      </c>
      <c r="F4" s="14" t="s">
        <v>12</v>
      </c>
      <c r="G4" s="14" t="s">
        <v>13</v>
      </c>
      <c r="H4" s="14" t="s">
        <v>10</v>
      </c>
      <c r="I4" s="14" t="s">
        <v>11</v>
      </c>
      <c r="J4" s="15" t="s">
        <v>5</v>
      </c>
      <c r="L4" t="s">
        <v>1</v>
      </c>
      <c r="M4" t="s">
        <v>10</v>
      </c>
      <c r="N4" t="s">
        <v>11</v>
      </c>
      <c r="O4" t="s">
        <v>17</v>
      </c>
      <c r="P4" t="s">
        <v>18</v>
      </c>
      <c r="Q4" s="8" t="s">
        <v>25</v>
      </c>
      <c r="R4" s="8" t="s">
        <v>24</v>
      </c>
      <c r="S4" t="s">
        <v>20</v>
      </c>
    </row>
    <row r="5" spans="1:24" x14ac:dyDescent="0.35">
      <c r="A5" s="16">
        <v>1000</v>
      </c>
      <c r="B5" s="17">
        <v>3.4500000000000003E-2</v>
      </c>
      <c r="C5" s="18">
        <v>12</v>
      </c>
      <c r="D5" s="18" t="s">
        <v>4</v>
      </c>
      <c r="E5" s="19">
        <v>45545</v>
      </c>
      <c r="F5" s="19">
        <v>45545</v>
      </c>
      <c r="G5" s="19" cm="1">
        <f t="array" ref="G5">_xlfn.SWITCH(Test!$D5,"YEAR",EDATE(Test!$F5,12*Test!$C5),"DAY",Test!$F5+Test!$C5,EDATE(Test!$F5,Test!$C5))</f>
        <v>45910</v>
      </c>
      <c r="H5" s="20">
        <f>$A$5*(1+$B$5)^$C$5</f>
        <v>1502.3320764834846</v>
      </c>
      <c r="I5" s="20">
        <f ca="1">SUM(dynamic[[#Data],[Pago]])</f>
        <v>1255.2235099569205</v>
      </c>
      <c r="J5" s="21">
        <f>Test!$H5*Test!$B5/((1+Test!$B5)^Test!$C5-1)</f>
        <v>103.17966752494308</v>
      </c>
      <c r="K5" s="2"/>
      <c r="L5" s="8" cm="1">
        <f t="array" aca="1" ref="L5" ca="1">CELL("row",dynamic[[#This Row],[Pago]])-CELL("row",dynamic[#Headers])-1</f>
        <v>0</v>
      </c>
      <c r="M5" s="9">
        <f ca="1">IF($L5&gt;$C$5,$H$5,$A$5*(1+$B$5)^$L5)</f>
        <v>1000</v>
      </c>
      <c r="N5" s="9">
        <f ca="1">IFERROR(IF(L5=0,$M5,$Q4*(1+$B$5)*(1-1/(1+$C$5-$L5))),0)</f>
        <v>1000</v>
      </c>
      <c r="O5" s="9"/>
      <c r="P5" s="9"/>
      <c r="Q5" s="9">
        <f ca="1">$N5-$O5+$P$5</f>
        <v>1000</v>
      </c>
      <c r="R5" s="9">
        <f t="shared" ref="R5:R17" ca="1" si="0">IF(L5=0,0,Q4*(1+$B$5)-Q5)</f>
        <v>0</v>
      </c>
      <c r="S5" t="s">
        <v>22</v>
      </c>
      <c r="V5" s="1" t="s">
        <v>27</v>
      </c>
      <c r="W5" s="1" t="s">
        <v>29</v>
      </c>
      <c r="X5" s="1" t="s">
        <v>28</v>
      </c>
    </row>
    <row r="6" spans="1:24" x14ac:dyDescent="0.35">
      <c r="A6" s="2"/>
      <c r="B6" s="3"/>
      <c r="L6" s="8" cm="1">
        <f t="array" aca="1" ref="L6" ca="1">CELL("row",dynamic[[#This Row],[Pago]])-CELL("row",dynamic[#Headers])-1</f>
        <v>1</v>
      </c>
      <c r="M6" s="9">
        <f ca="1">IF($L6&gt;$C$5,$H$5,$A$5*(1+$B$5)^$L6)</f>
        <v>1034.5</v>
      </c>
      <c r="N6" s="9">
        <f ca="1">IFERROR(IF(L6=0,$M6,$Q5*(1+$B$5)*(1-1/(1+$C$5-$L6))),0)</f>
        <v>948.29166666666663</v>
      </c>
      <c r="O6" s="9"/>
      <c r="P6" s="9"/>
      <c r="Q6" s="9">
        <f t="shared" ref="Q6:Q17" ca="1" si="1">$N6-$O6+$P$5</f>
        <v>948.29166666666663</v>
      </c>
      <c r="R6" s="9">
        <f t="shared" ca="1" si="0"/>
        <v>86.208333333333371</v>
      </c>
      <c r="S6" t="s">
        <v>23</v>
      </c>
      <c r="T6" s="7"/>
      <c r="V6" s="11">
        <v>0</v>
      </c>
      <c r="W6" s="2">
        <f>103.18</f>
        <v>103.18</v>
      </c>
      <c r="X6" s="2">
        <v>103.18</v>
      </c>
    </row>
    <row r="7" spans="1:24" x14ac:dyDescent="0.35">
      <c r="L7" s="8" cm="1">
        <f t="array" aca="1" ref="L7" ca="1">CELL("row",dynamic[[#This Row],[Pago]])-CELL("row",dynamic[#Headers])-1</f>
        <v>2</v>
      </c>
      <c r="M7" s="9">
        <f t="shared" ref="M7:M17" ca="1" si="2">IF($L7&gt;$C$5,$H$5,$A$5*(1+$B$5)^$L7)</f>
        <v>1070.1902500000001</v>
      </c>
      <c r="N7" s="9">
        <f t="shared" ref="N7:N17" ca="1" si="3">IFERROR(IF(L7=0,$M7,$Q6*(1+$B$5)*(1-1/(1+$C$5-$L7))),0)</f>
        <v>891.82520833333331</v>
      </c>
      <c r="O7" s="9"/>
      <c r="P7" s="9"/>
      <c r="Q7" s="9">
        <f t="shared" ca="1" si="1"/>
        <v>891.82520833333331</v>
      </c>
      <c r="R7" s="9">
        <f t="shared" ca="1" si="0"/>
        <v>89.182520833333342</v>
      </c>
      <c r="S7" t="s">
        <v>23</v>
      </c>
      <c r="V7" s="1">
        <v>1</v>
      </c>
      <c r="W7" s="2">
        <f>103.18</f>
        <v>103.18</v>
      </c>
      <c r="X7" s="2">
        <f>X6*(1+$B$5)+W7</f>
        <v>209.91971000000001</v>
      </c>
    </row>
    <row r="8" spans="1:24" x14ac:dyDescent="0.35">
      <c r="L8" s="8" cm="1">
        <f t="array" aca="1" ref="L8" ca="1">CELL("row",dynamic[[#This Row],[Pago]])-CELL("row",dynamic[#Headers])-1</f>
        <v>3</v>
      </c>
      <c r="M8" s="9">
        <f t="shared" ca="1" si="2"/>
        <v>1107.111813625</v>
      </c>
      <c r="N8" s="9">
        <f t="shared" ca="1" si="3"/>
        <v>830.33386021875003</v>
      </c>
      <c r="O8" s="9"/>
      <c r="P8" s="9"/>
      <c r="Q8" s="9">
        <f t="shared" ca="1" si="1"/>
        <v>830.33386021875003</v>
      </c>
      <c r="R8" s="9">
        <f t="shared" ca="1" si="0"/>
        <v>92.259317802083274</v>
      </c>
      <c r="S8" t="s">
        <v>23</v>
      </c>
      <c r="V8" s="1">
        <v>2</v>
      </c>
      <c r="W8" s="2">
        <f>103.18</f>
        <v>103.18</v>
      </c>
      <c r="X8" s="2">
        <f t="shared" ref="X8:X17" si="4">X7*(1+$B$5)+W8</f>
        <v>320.34193999500002</v>
      </c>
    </row>
    <row r="9" spans="1:24" x14ac:dyDescent="0.35">
      <c r="L9" s="8" cm="1">
        <f t="array" aca="1" ref="L9" ca="1">CELL("row",dynamic[[#This Row],[Pago]])-CELL("row",dynamic[#Headers])-1</f>
        <v>4</v>
      </c>
      <c r="M9" s="9">
        <f t="shared" ca="1" si="2"/>
        <v>1145.3071711950624</v>
      </c>
      <c r="N9" s="9">
        <f t="shared" ca="1" si="3"/>
        <v>763.53811413004166</v>
      </c>
      <c r="O9" s="9"/>
      <c r="P9" s="9"/>
      <c r="Q9" s="9">
        <f t="shared" ca="1" si="1"/>
        <v>763.53811413004166</v>
      </c>
      <c r="R9" s="9">
        <f t="shared" ca="1" si="0"/>
        <v>95.442264266255279</v>
      </c>
      <c r="S9" t="s">
        <v>23</v>
      </c>
      <c r="V9" s="1">
        <v>3</v>
      </c>
      <c r="W9" s="2">
        <f t="shared" ref="W9:W10" si="5">103.18</f>
        <v>103.18</v>
      </c>
      <c r="X9" s="2">
        <f t="shared" si="4"/>
        <v>434.57373692482753</v>
      </c>
    </row>
    <row r="10" spans="1:24" x14ac:dyDescent="0.35">
      <c r="L10" s="8" cm="1">
        <f t="array" aca="1" ref="L10" ca="1">CELL("row",dynamic[[#This Row],[Pago]])-CELL("row",dynamic[#Headers])-1</f>
        <v>5</v>
      </c>
      <c r="M10" s="9">
        <f t="shared" ca="1" si="2"/>
        <v>1184.8202686012921</v>
      </c>
      <c r="N10" s="9">
        <f t="shared" ca="1" si="3"/>
        <v>691.14515668408706</v>
      </c>
      <c r="O10" s="9"/>
      <c r="P10" s="9"/>
      <c r="Q10" s="9">
        <f t="shared" ca="1" si="1"/>
        <v>691.14515668408706</v>
      </c>
      <c r="R10" s="9">
        <f t="shared" ca="1" si="0"/>
        <v>98.735022383440992</v>
      </c>
      <c r="S10" t="s">
        <v>23</v>
      </c>
      <c r="V10" s="11">
        <v>4</v>
      </c>
      <c r="W10" s="2">
        <f t="shared" si="5"/>
        <v>103.18</v>
      </c>
      <c r="X10" s="2">
        <f>X9*(1+$B$5)+W10</f>
        <v>552.7465308487341</v>
      </c>
    </row>
    <row r="11" spans="1:24" x14ac:dyDescent="0.35">
      <c r="L11" s="8" cm="1">
        <f t="array" aca="1" ref="L11" ca="1">CELL("row",dynamic[[#This Row],[Pago]])-CELL("row",dynamic[#Headers])-1</f>
        <v>6</v>
      </c>
      <c r="M11" s="9">
        <f t="shared" ca="1" si="2"/>
        <v>1225.6965678680367</v>
      </c>
      <c r="N11" s="9">
        <f t="shared" ca="1" si="3"/>
        <v>612.84828393401835</v>
      </c>
      <c r="O11" s="9"/>
      <c r="P11" s="9"/>
      <c r="Q11" s="9">
        <f t="shared" ca="1" si="1"/>
        <v>612.84828393401835</v>
      </c>
      <c r="R11" s="9">
        <f t="shared" ca="1" si="0"/>
        <v>102.14138065566965</v>
      </c>
      <c r="S11" t="s">
        <v>23</v>
      </c>
      <c r="V11" s="1">
        <v>5</v>
      </c>
      <c r="W11" s="2">
        <f t="shared" ref="W11:W17" si="6">103.18</f>
        <v>103.18</v>
      </c>
      <c r="X11" s="2">
        <f t="shared" si="4"/>
        <v>674.99628616301538</v>
      </c>
    </row>
    <row r="12" spans="1:24" x14ac:dyDescent="0.35">
      <c r="L12" s="8" cm="1">
        <f t="array" aca="1" ref="L12" ca="1">CELL("row",dynamic[[#This Row],[Pago]])-CELL("row",dynamic[#Headers])-1</f>
        <v>7</v>
      </c>
      <c r="M12" s="9">
        <f t="shared" ca="1" si="2"/>
        <v>1267.9830994594838</v>
      </c>
      <c r="N12" s="9">
        <f t="shared" ca="1" si="3"/>
        <v>528.32629144145176</v>
      </c>
      <c r="O12" s="9"/>
      <c r="P12" s="9"/>
      <c r="Q12" s="9">
        <f t="shared" ca="1" si="1"/>
        <v>528.32629144145176</v>
      </c>
      <c r="R12" s="9">
        <f t="shared" ca="1" si="0"/>
        <v>105.66525828829026</v>
      </c>
      <c r="S12" t="s">
        <v>23</v>
      </c>
      <c r="V12" s="1">
        <v>6</v>
      </c>
      <c r="W12" s="2">
        <f t="shared" si="6"/>
        <v>103.18</v>
      </c>
      <c r="X12" s="2">
        <f t="shared" si="4"/>
        <v>801.46365803563936</v>
      </c>
    </row>
    <row r="13" spans="1:24" x14ac:dyDescent="0.35">
      <c r="F13" s="10"/>
      <c r="L13" s="8" cm="1">
        <f t="array" aca="1" ref="L13" ca="1">CELL("row",dynamic[[#This Row],[Pago]])-CELL("row",dynamic[#Headers])-1</f>
        <v>8</v>
      </c>
      <c r="M13" s="9">
        <f t="shared" ca="1" si="2"/>
        <v>1311.7285163908361</v>
      </c>
      <c r="N13" s="9">
        <f t="shared" ca="1" si="3"/>
        <v>437.24283879694553</v>
      </c>
      <c r="O13" s="9"/>
      <c r="P13" s="9"/>
      <c r="Q13" s="9">
        <f t="shared" ca="1" si="1"/>
        <v>437.24283879694553</v>
      </c>
      <c r="R13" s="9">
        <f t="shared" ca="1" si="0"/>
        <v>109.31070969923633</v>
      </c>
      <c r="S13" t="s">
        <v>23</v>
      </c>
      <c r="V13" s="1">
        <v>7</v>
      </c>
      <c r="W13" s="2">
        <f t="shared" si="6"/>
        <v>103.18</v>
      </c>
      <c r="X13" s="2">
        <f t="shared" si="4"/>
        <v>932.29415423786895</v>
      </c>
    </row>
    <row r="14" spans="1:24" x14ac:dyDescent="0.35">
      <c r="L14" s="8" cm="1">
        <f t="array" aca="1" ref="L14" ca="1">CELL("row",dynamic[[#This Row],[Pago]])-CELL("row",dynamic[#Headers])-1</f>
        <v>9</v>
      </c>
      <c r="M14" s="9">
        <f t="shared" ca="1" si="2"/>
        <v>1356.9831502063198</v>
      </c>
      <c r="N14" s="9">
        <f t="shared" ca="1" si="3"/>
        <v>339.24578755158012</v>
      </c>
      <c r="O14" s="9"/>
      <c r="P14" s="9"/>
      <c r="Q14" s="9">
        <f t="shared" ca="1" si="1"/>
        <v>339.24578755158012</v>
      </c>
      <c r="R14" s="9">
        <f t="shared" ca="1" si="0"/>
        <v>113.08192918386004</v>
      </c>
      <c r="S14" t="s">
        <v>23</v>
      </c>
      <c r="V14" s="11">
        <v>8</v>
      </c>
      <c r="W14" s="2">
        <f t="shared" si="6"/>
        <v>103.18</v>
      </c>
      <c r="X14" s="2">
        <f t="shared" si="4"/>
        <v>1067.6383025590753</v>
      </c>
    </row>
    <row r="15" spans="1:24" x14ac:dyDescent="0.35">
      <c r="L15" s="8" cm="1">
        <f t="array" aca="1" ref="L15" ca="1">CELL("row",dynamic[[#This Row],[Pago]])-CELL("row",dynamic[#Headers])-1</f>
        <v>10</v>
      </c>
      <c r="M15" s="9">
        <f t="shared" ca="1" si="2"/>
        <v>1403.7990688884381</v>
      </c>
      <c r="N15" s="9">
        <f t="shared" ca="1" si="3"/>
        <v>233.96651148140646</v>
      </c>
      <c r="O15" s="9"/>
      <c r="P15" s="9"/>
      <c r="Q15" s="9">
        <f t="shared" ca="1" si="1"/>
        <v>233.96651148140646</v>
      </c>
      <c r="R15" s="9">
        <f t="shared" ca="1" si="0"/>
        <v>116.98325574070319</v>
      </c>
      <c r="S15" t="s">
        <v>23</v>
      </c>
      <c r="V15" s="1">
        <v>9</v>
      </c>
      <c r="W15" s="2">
        <f t="shared" si="6"/>
        <v>103.18</v>
      </c>
      <c r="X15" s="2">
        <f t="shared" si="4"/>
        <v>1207.6518239973634</v>
      </c>
    </row>
    <row r="16" spans="1:24" x14ac:dyDescent="0.35">
      <c r="L16" s="8" cm="1">
        <f t="array" aca="1" ref="L16" ca="1">CELL("row",dynamic[[#This Row],[Pago]])-CELL("row",dynamic[#Headers])-1</f>
        <v>11</v>
      </c>
      <c r="M16" s="9">
        <f t="shared" ca="1" si="2"/>
        <v>1452.2301367650891</v>
      </c>
      <c r="N16" s="9">
        <f t="shared" ca="1" si="3"/>
        <v>121.01917806375749</v>
      </c>
      <c r="O16" s="9"/>
      <c r="P16" s="9"/>
      <c r="Q16" s="9">
        <f t="shared" ca="1" si="1"/>
        <v>121.01917806375749</v>
      </c>
      <c r="R16" s="9">
        <f t="shared" ca="1" si="0"/>
        <v>121.01917806375749</v>
      </c>
      <c r="S16" t="s">
        <v>23</v>
      </c>
      <c r="V16" s="1">
        <v>10</v>
      </c>
      <c r="W16" s="2">
        <f t="shared" si="6"/>
        <v>103.18</v>
      </c>
      <c r="X16" s="2">
        <f t="shared" si="4"/>
        <v>1352.4958119252724</v>
      </c>
    </row>
    <row r="17" spans="12:24" x14ac:dyDescent="0.35">
      <c r="L17" s="8" cm="1">
        <f t="array" aca="1" ref="L17" ca="1">CELL("row",dynamic[[#This Row],[Pago]])-CELL("row",dynamic[#Headers])-1</f>
        <v>12</v>
      </c>
      <c r="M17" s="9">
        <f t="shared" ca="1" si="2"/>
        <v>1502.3320764834846</v>
      </c>
      <c r="N17" s="9">
        <f t="shared" ca="1" si="3"/>
        <v>0</v>
      </c>
      <c r="O17" s="9"/>
      <c r="P17" s="9"/>
      <c r="Q17" s="9">
        <f t="shared" ca="1" si="1"/>
        <v>0</v>
      </c>
      <c r="R17" s="9">
        <f t="shared" ca="1" si="0"/>
        <v>125.19433970695712</v>
      </c>
      <c r="S17" t="s">
        <v>23</v>
      </c>
      <c r="V17" s="1">
        <v>11</v>
      </c>
      <c r="W17" s="2">
        <f t="shared" si="6"/>
        <v>103.18</v>
      </c>
      <c r="X17" s="2">
        <f t="shared" si="4"/>
        <v>1502.3369174366944</v>
      </c>
    </row>
  </sheetData>
  <mergeCells count="7">
    <mergeCell ref="A2:F2"/>
    <mergeCell ref="G2:J2"/>
    <mergeCell ref="M3:N3"/>
    <mergeCell ref="F3:G3"/>
    <mergeCell ref="L1:S1"/>
    <mergeCell ref="H3:I3"/>
    <mergeCell ref="A1:J1"/>
  </mergeCells>
  <dataValidations count="2">
    <dataValidation type="list" allowBlank="1" showInputMessage="1" showErrorMessage="1" sqref="D5" xr:uid="{1629FC63-8F10-47E4-9585-CE4333214AEC}">
      <formula1>"DAY,MONTH,YEAR"</formula1>
    </dataValidation>
    <dataValidation type="list" allowBlank="1" showInputMessage="1" showErrorMessage="1" sqref="S5:S17" xr:uid="{AB9761CE-6E8D-4FF8-93B6-91738EDA0A9B}">
      <formula1>"OK,PENDING"</formula1>
    </dataValidation>
  </dataValidations>
  <pageMargins left="0.7" right="0.7" top="0.75" bottom="0.75" header="0.3" footer="0.3"/>
  <headerFooter>
    <oddFooter>&amp;C_x000D_&amp;1#&amp;"Calibri"&amp;10&amp;K000000 General Business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5CA41-9AB1-44B3-A8A2-7A092B75D642}">
  <sheetPr codeName="Sheet2"/>
  <dimension ref="A1:X28"/>
  <sheetViews>
    <sheetView tabSelected="1" topLeftCell="B1" workbookViewId="0">
      <selection activeCell="E29" sqref="E29"/>
    </sheetView>
  </sheetViews>
  <sheetFormatPr defaultRowHeight="14.5" x14ac:dyDescent="0.35"/>
  <cols>
    <col min="1" max="1" width="12.7265625" style="1" customWidth="1"/>
    <col min="2" max="2" width="17.1796875" style="1" bestFit="1" customWidth="1"/>
    <col min="3" max="3" width="17.453125" style="1" bestFit="1" customWidth="1"/>
    <col min="4" max="4" width="22.1796875" style="1" bestFit="1" customWidth="1"/>
    <col min="5" max="5" width="19.6328125" style="1" bestFit="1" customWidth="1"/>
    <col min="6" max="6" width="17.6328125" style="1" bestFit="1" customWidth="1"/>
    <col min="7" max="7" width="14.36328125" style="1" customWidth="1"/>
    <col min="8" max="8" width="17.1796875" style="1" customWidth="1"/>
    <col min="9" max="9" width="17.36328125" style="1" customWidth="1"/>
    <col min="10" max="10" width="12.90625" style="1" customWidth="1"/>
    <col min="11" max="11" width="11.54296875" style="1" customWidth="1"/>
    <col min="12" max="12" width="10.36328125" style="1" customWidth="1"/>
    <col min="13" max="13" width="17.1796875" style="1" customWidth="1"/>
    <col min="14" max="14" width="17.36328125" style="1" customWidth="1"/>
    <col min="15" max="15" width="18.08984375" style="1" customWidth="1"/>
    <col min="16" max="16" width="11.08984375" style="1" customWidth="1"/>
    <col min="17" max="17" width="17.6328125" style="1" bestFit="1" customWidth="1"/>
    <col min="18" max="18" width="13.81640625" style="1" customWidth="1"/>
    <col min="19" max="19" width="10.7265625" style="1" customWidth="1"/>
    <col min="20" max="20" width="12.6328125" style="1" bestFit="1" customWidth="1"/>
    <col min="21" max="21" width="8.7265625" style="1"/>
    <col min="22" max="22" width="9.90625" style="1" customWidth="1"/>
    <col min="23" max="23" width="10.7265625" style="1" customWidth="1"/>
    <col min="24" max="24" width="11.6328125" style="1" bestFit="1" customWidth="1"/>
    <col min="25" max="16384" width="8.7265625" style="1"/>
  </cols>
  <sheetData>
    <row r="1" spans="1:24" ht="22.5" customHeight="1" thickBot="1" x14ac:dyDescent="0.4">
      <c r="A1" s="40" t="s">
        <v>14</v>
      </c>
      <c r="B1" s="40"/>
      <c r="C1" s="40"/>
      <c r="D1" s="40"/>
      <c r="E1" s="40"/>
      <c r="F1" s="40"/>
      <c r="G1" s="40"/>
      <c r="H1" s="40"/>
      <c r="I1" s="40"/>
      <c r="J1" s="40"/>
      <c r="K1" s="6"/>
    </row>
    <row r="2" spans="1:24" ht="22.5" customHeight="1" thickBot="1" x14ac:dyDescent="0.4">
      <c r="A2" s="33" t="s">
        <v>7</v>
      </c>
      <c r="B2" s="34"/>
      <c r="C2" s="34"/>
      <c r="D2" s="34"/>
      <c r="E2" s="34"/>
      <c r="F2" s="34"/>
      <c r="G2" s="35" t="s">
        <v>8</v>
      </c>
      <c r="H2" s="35"/>
      <c r="I2" s="35"/>
      <c r="J2" s="35"/>
      <c r="K2" s="5"/>
    </row>
    <row r="3" spans="1:24" ht="22.5" customHeight="1" thickBot="1" x14ac:dyDescent="0.4">
      <c r="F3" s="37" t="s">
        <v>19</v>
      </c>
      <c r="G3" s="37"/>
      <c r="H3" s="39" t="s">
        <v>9</v>
      </c>
      <c r="I3" s="39"/>
      <c r="J3" s="4"/>
      <c r="V3" s="1" t="s">
        <v>26</v>
      </c>
      <c r="W3" s="1">
        <v>103.18</v>
      </c>
    </row>
    <row r="4" spans="1:24" x14ac:dyDescent="0.35">
      <c r="A4" s="13" t="s">
        <v>0</v>
      </c>
      <c r="B4" s="14" t="s">
        <v>6</v>
      </c>
      <c r="C4" s="14" t="s">
        <v>3</v>
      </c>
      <c r="D4" s="14" t="s">
        <v>2</v>
      </c>
      <c r="E4" s="14" t="s">
        <v>21</v>
      </c>
      <c r="F4" s="14" t="s">
        <v>12</v>
      </c>
      <c r="G4" s="14" t="s">
        <v>13</v>
      </c>
      <c r="H4" s="14" t="s">
        <v>10</v>
      </c>
      <c r="I4" s="14" t="s">
        <v>11</v>
      </c>
      <c r="J4" s="15" t="s">
        <v>5</v>
      </c>
      <c r="K4" s="15" t="s">
        <v>39</v>
      </c>
      <c r="L4" s="15" t="s">
        <v>40</v>
      </c>
    </row>
    <row r="5" spans="1:24" x14ac:dyDescent="0.35">
      <c r="A5" s="16">
        <v>1000</v>
      </c>
      <c r="B5" s="17">
        <v>3.4500000000000003E-2</v>
      </c>
      <c r="C5" s="18">
        <v>12</v>
      </c>
      <c r="D5" s="18" t="s">
        <v>4</v>
      </c>
      <c r="E5" s="19">
        <v>45545</v>
      </c>
      <c r="F5" s="19">
        <v>45545</v>
      </c>
      <c r="G5" s="19" cm="1">
        <f t="array" ref="G5">_xlfn.SWITCH(Application!$D5,"YEAR",EDATE(Application!$F5,12*Application!$C5),"DAY",Application!$F5+Application!$C5,EDATE(Application!$F5,Application!$C5))</f>
        <v>45910</v>
      </c>
      <c r="H5" s="20">
        <f>$A$5*(1+$B$5)^$C$5</f>
        <v>1502.3320764834846</v>
      </c>
      <c r="I5" s="20">
        <f>J5*C5</f>
        <v>1238.1560102993171</v>
      </c>
      <c r="J5" s="21">
        <f>Application!$H5*Application!$B5/((1+Application!$B5)^Application!$C5-1)</f>
        <v>103.17966752494308</v>
      </c>
      <c r="K5" s="18"/>
      <c r="L5" s="18"/>
      <c r="V5" s="1" t="s">
        <v>27</v>
      </c>
      <c r="W5" s="1" t="s">
        <v>29</v>
      </c>
      <c r="X5" s="1" t="s">
        <v>28</v>
      </c>
    </row>
    <row r="6" spans="1:24" x14ac:dyDescent="0.35">
      <c r="A6" s="2"/>
      <c r="B6" s="3"/>
      <c r="T6" s="7"/>
      <c r="V6" s="11">
        <v>0</v>
      </c>
      <c r="W6" s="2">
        <f>103.18</f>
        <v>103.18</v>
      </c>
      <c r="X6" s="2">
        <v>103.18</v>
      </c>
    </row>
    <row r="7" spans="1:24" x14ac:dyDescent="0.35">
      <c r="V7" s="1">
        <v>1</v>
      </c>
      <c r="W7" s="2">
        <f>103.18</f>
        <v>103.18</v>
      </c>
      <c r="X7" s="2">
        <f>X6*(1+$B$5)+W7</f>
        <v>209.91971000000001</v>
      </c>
    </row>
    <row r="8" spans="1:24" ht="15" thickBot="1" x14ac:dyDescent="0.4">
      <c r="A8" s="38" t="s">
        <v>15</v>
      </c>
      <c r="B8" s="38"/>
      <c r="C8" s="38"/>
      <c r="D8" s="38"/>
      <c r="E8" s="38"/>
      <c r="F8" s="38"/>
      <c r="G8" s="38"/>
      <c r="H8" s="38"/>
      <c r="I8" s="38"/>
      <c r="V8" s="1">
        <v>2</v>
      </c>
      <c r="W8" s="2">
        <f>103.18</f>
        <v>103.18</v>
      </c>
      <c r="X8" s="2">
        <f t="shared" ref="X8:X9" si="0">X7*(1+$B$5)+W8</f>
        <v>320.34193999500002</v>
      </c>
    </row>
    <row r="9" spans="1:24" x14ac:dyDescent="0.35">
      <c r="V9" s="1">
        <v>3</v>
      </c>
      <c r="W9" s="2">
        <f t="shared" ref="W9:W17" si="1">103.18</f>
        <v>103.18</v>
      </c>
      <c r="X9" s="2">
        <f t="shared" si="0"/>
        <v>434.57373692482753</v>
      </c>
    </row>
    <row r="10" spans="1:24" ht="15" thickBot="1" x14ac:dyDescent="0.4">
      <c r="B10" s="36" t="s">
        <v>16</v>
      </c>
      <c r="C10" s="36"/>
      <c r="V10" s="11">
        <v>4</v>
      </c>
      <c r="W10" s="2">
        <f t="shared" si="1"/>
        <v>103.18</v>
      </c>
      <c r="X10" s="2">
        <f>X9*(1+$B$5)+W10</f>
        <v>552.7465308487341</v>
      </c>
    </row>
    <row r="11" spans="1:24" x14ac:dyDescent="0.35">
      <c r="A11" t="s">
        <v>1</v>
      </c>
      <c r="B11" t="s">
        <v>10</v>
      </c>
      <c r="C11" t="s">
        <v>11</v>
      </c>
      <c r="D11" t="s">
        <v>17</v>
      </c>
      <c r="E11" t="s">
        <v>18</v>
      </c>
      <c r="F11" s="8" t="s">
        <v>25</v>
      </c>
      <c r="G11" s="8" t="s">
        <v>24</v>
      </c>
      <c r="H11" t="s">
        <v>20</v>
      </c>
      <c r="I11" t="s">
        <v>30</v>
      </c>
      <c r="V11" s="1">
        <v>5</v>
      </c>
      <c r="W11" s="2">
        <f t="shared" si="1"/>
        <v>103.18</v>
      </c>
      <c r="X11" s="2">
        <f t="shared" ref="X11:X17" si="2">X10*(1+$B$5)+W11</f>
        <v>674.99628616301538</v>
      </c>
    </row>
    <row r="12" spans="1:24" x14ac:dyDescent="0.35">
      <c r="A12" s="8" cm="1">
        <f t="array" aca="1" ref="A12" ca="1">CELL("row",dynamic3[[#This Row],[Pago]])-CELL("row",dynamic3[#Headers])-1</f>
        <v>0</v>
      </c>
      <c r="B12" s="9">
        <f ca="1">IF($A12&gt;$C$5,$H$5,$A$5*(1+$B$5)^$A12)</f>
        <v>1000</v>
      </c>
      <c r="C12" s="9">
        <f ca="1">IFERROR(IF(A12=0,$B12,$F11*(1+$B$5)*(1-1/(1+$C$5-$A12))),0)</f>
        <v>1000</v>
      </c>
      <c r="D12" s="9"/>
      <c r="E12" s="9"/>
      <c r="F12" s="9">
        <f ca="1">$C12-$D12+$E$12</f>
        <v>1000</v>
      </c>
      <c r="G12" s="9">
        <f ca="1">IF(A12=0,0,F11*(1+$B$5)-F12)</f>
        <v>0</v>
      </c>
      <c r="H12" t="s">
        <v>22</v>
      </c>
      <c r="I12"/>
      <c r="V12" s="1">
        <v>6</v>
      </c>
      <c r="W12" s="2">
        <f t="shared" si="1"/>
        <v>103.18</v>
      </c>
      <c r="X12" s="2">
        <f t="shared" si="2"/>
        <v>801.46365803563936</v>
      </c>
    </row>
    <row r="13" spans="1:24" x14ac:dyDescent="0.35">
      <c r="A13" s="8" cm="1">
        <f t="array" aca="1" ref="A13" ca="1">CELL("row",dynamic3[[#This Row],[Pago]])-CELL("row",dynamic3[#Headers])-1</f>
        <v>1</v>
      </c>
      <c r="B13" s="9">
        <f t="shared" ref="B13:B22" ca="1" si="3">IF($A13&gt;$C$5,$H$5,$A$5*(1+$B$5)^$A13)</f>
        <v>1034.5</v>
      </c>
      <c r="C13" s="9">
        <f ca="1">IFERROR(IF(A13=0,$B13,$F12*(1+$B$5)*(1-1/(1+$C$5-$A13))),0)</f>
        <v>948.29166666666663</v>
      </c>
      <c r="D13" s="9"/>
      <c r="E13" s="9"/>
      <c r="F13" s="9">
        <f t="shared" ref="F13:F22" ca="1" si="4">$C13-$D13+$E$12</f>
        <v>948.29166666666663</v>
      </c>
      <c r="G13" s="9">
        <f t="shared" ref="G13:G22" ca="1" si="5">IF(A13=0,0,F12*(1+$B$5)-F13)</f>
        <v>86.208333333333371</v>
      </c>
      <c r="H13" t="s">
        <v>23</v>
      </c>
      <c r="I13"/>
      <c r="V13" s="1">
        <v>7</v>
      </c>
      <c r="W13" s="2">
        <f t="shared" si="1"/>
        <v>103.18</v>
      </c>
      <c r="X13" s="2">
        <f t="shared" si="2"/>
        <v>932.29415423786895</v>
      </c>
    </row>
    <row r="14" spans="1:24" x14ac:dyDescent="0.35">
      <c r="A14" s="8" cm="1">
        <f t="array" aca="1" ref="A14" ca="1">CELL("row",dynamic3[[#This Row],[Pago]])-CELL("row",dynamic3[#Headers])-1</f>
        <v>2</v>
      </c>
      <c r="B14" s="9">
        <f t="shared" ca="1" si="3"/>
        <v>1070.1902500000001</v>
      </c>
      <c r="C14" s="9">
        <f t="shared" ref="C14:C22" ca="1" si="6">IFERROR(IF(A14=0,$B14,$F13*(1+$B$5)*(1-1/(1+$C$5-$A14))),0)</f>
        <v>891.82520833333331</v>
      </c>
      <c r="D14" s="9"/>
      <c r="E14" s="9"/>
      <c r="F14" s="9">
        <f t="shared" ca="1" si="4"/>
        <v>891.82520833333331</v>
      </c>
      <c r="G14" s="9">
        <f t="shared" ca="1" si="5"/>
        <v>89.182520833333342</v>
      </c>
      <c r="H14" t="s">
        <v>23</v>
      </c>
      <c r="I14"/>
      <c r="V14" s="11">
        <v>8</v>
      </c>
      <c r="W14" s="2">
        <f t="shared" si="1"/>
        <v>103.18</v>
      </c>
      <c r="X14" s="2">
        <f t="shared" si="2"/>
        <v>1067.6383025590753</v>
      </c>
    </row>
    <row r="15" spans="1:24" x14ac:dyDescent="0.35">
      <c r="A15" s="8" cm="1">
        <f t="array" aca="1" ref="A15" ca="1">CELL("row",dynamic3[[#This Row],[Pago]])-CELL("row",dynamic3[#Headers])-1</f>
        <v>3</v>
      </c>
      <c r="B15" s="9">
        <f t="shared" ca="1" si="3"/>
        <v>1107.111813625</v>
      </c>
      <c r="C15" s="9">
        <f t="shared" ca="1" si="6"/>
        <v>830.33386021875003</v>
      </c>
      <c r="D15" s="9"/>
      <c r="E15" s="9"/>
      <c r="F15" s="9">
        <f t="shared" ca="1" si="4"/>
        <v>830.33386021875003</v>
      </c>
      <c r="G15" s="9">
        <f t="shared" ca="1" si="5"/>
        <v>92.259317802083274</v>
      </c>
      <c r="H15" t="s">
        <v>23</v>
      </c>
      <c r="I15"/>
      <c r="V15" s="1">
        <v>9</v>
      </c>
      <c r="W15" s="2">
        <f t="shared" si="1"/>
        <v>103.18</v>
      </c>
      <c r="X15" s="2">
        <f t="shared" si="2"/>
        <v>1207.6518239973634</v>
      </c>
    </row>
    <row r="16" spans="1:24" x14ac:dyDescent="0.35">
      <c r="A16" s="8" cm="1">
        <f t="array" aca="1" ref="A16" ca="1">CELL("row",dynamic3[[#This Row],[Pago]])-CELL("row",dynamic3[#Headers])-1</f>
        <v>4</v>
      </c>
      <c r="B16" s="9">
        <f t="shared" ca="1" si="3"/>
        <v>1145.3071711950624</v>
      </c>
      <c r="C16" s="9">
        <f t="shared" ca="1" si="6"/>
        <v>763.53811413004166</v>
      </c>
      <c r="D16" s="9"/>
      <c r="E16" s="9"/>
      <c r="F16" s="9">
        <f t="shared" ca="1" si="4"/>
        <v>763.53811413004166</v>
      </c>
      <c r="G16" s="9">
        <f t="shared" ca="1" si="5"/>
        <v>95.442264266255279</v>
      </c>
      <c r="H16" t="s">
        <v>23</v>
      </c>
      <c r="I16"/>
      <c r="V16" s="1">
        <v>10</v>
      </c>
      <c r="W16" s="2">
        <f t="shared" si="1"/>
        <v>103.18</v>
      </c>
      <c r="X16" s="2">
        <f t="shared" si="2"/>
        <v>1352.4958119252724</v>
      </c>
    </row>
    <row r="17" spans="1:24" x14ac:dyDescent="0.35">
      <c r="A17" s="8" cm="1">
        <f t="array" aca="1" ref="A17" ca="1">CELL("row",dynamic3[[#This Row],[Pago]])-CELL("row",dynamic3[#Headers])-1</f>
        <v>5</v>
      </c>
      <c r="B17" s="9">
        <f t="shared" ca="1" si="3"/>
        <v>1184.8202686012921</v>
      </c>
      <c r="C17" s="9">
        <f t="shared" ca="1" si="6"/>
        <v>691.14515668408706</v>
      </c>
      <c r="D17" s="9"/>
      <c r="E17" s="9"/>
      <c r="F17" s="9">
        <f t="shared" ca="1" si="4"/>
        <v>691.14515668408706</v>
      </c>
      <c r="G17" s="9">
        <f t="shared" ca="1" si="5"/>
        <v>98.735022383440992</v>
      </c>
      <c r="H17" t="s">
        <v>23</v>
      </c>
      <c r="I17"/>
      <c r="V17" s="1">
        <v>11</v>
      </c>
      <c r="W17" s="2">
        <f t="shared" si="1"/>
        <v>103.18</v>
      </c>
      <c r="X17" s="2">
        <f t="shared" si="2"/>
        <v>1502.3369174366944</v>
      </c>
    </row>
    <row r="18" spans="1:24" x14ac:dyDescent="0.35">
      <c r="A18" s="8" cm="1">
        <f t="array" aca="1" ref="A18" ca="1">CELL("row",dynamic3[[#This Row],[Pago]])-CELL("row",dynamic3[#Headers])-1</f>
        <v>6</v>
      </c>
      <c r="B18" s="9">
        <f t="shared" ca="1" si="3"/>
        <v>1225.6965678680367</v>
      </c>
      <c r="C18" s="9">
        <f t="shared" ca="1" si="6"/>
        <v>612.84828393401835</v>
      </c>
      <c r="D18" s="9"/>
      <c r="E18" s="9"/>
      <c r="F18" s="9">
        <f t="shared" ca="1" si="4"/>
        <v>612.84828393401835</v>
      </c>
      <c r="G18" s="9">
        <f t="shared" ca="1" si="5"/>
        <v>102.14138065566965</v>
      </c>
      <c r="H18" t="s">
        <v>23</v>
      </c>
      <c r="I18"/>
    </row>
    <row r="19" spans="1:24" x14ac:dyDescent="0.35">
      <c r="A19" s="8" cm="1">
        <f t="array" aca="1" ref="A19" ca="1">CELL("row",dynamic3[[#This Row],[Pago]])-CELL("row",dynamic3[#Headers])-1</f>
        <v>7</v>
      </c>
      <c r="B19" s="9">
        <f t="shared" ca="1" si="3"/>
        <v>1267.9830994594838</v>
      </c>
      <c r="C19" s="9">
        <f t="shared" ca="1" si="6"/>
        <v>528.32629144145176</v>
      </c>
      <c r="D19" s="9"/>
      <c r="E19" s="9"/>
      <c r="F19" s="9">
        <f t="shared" ca="1" si="4"/>
        <v>528.32629144145176</v>
      </c>
      <c r="G19" s="9">
        <f t="shared" ca="1" si="5"/>
        <v>105.66525828829026</v>
      </c>
      <c r="H19" t="s">
        <v>23</v>
      </c>
      <c r="I19"/>
    </row>
    <row r="20" spans="1:24" x14ac:dyDescent="0.35">
      <c r="A20" s="8" cm="1">
        <f t="array" aca="1" ref="A20" ca="1">CELL("row",dynamic3[[#This Row],[Pago]])-CELL("row",dynamic3[#Headers])-1</f>
        <v>8</v>
      </c>
      <c r="B20" s="9">
        <f t="shared" ca="1" si="3"/>
        <v>1311.7285163908361</v>
      </c>
      <c r="C20" s="9">
        <f t="shared" ca="1" si="6"/>
        <v>437.24283879694553</v>
      </c>
      <c r="D20" s="9"/>
      <c r="E20" s="9"/>
      <c r="F20" s="9">
        <f t="shared" ca="1" si="4"/>
        <v>437.24283879694553</v>
      </c>
      <c r="G20" s="9">
        <f t="shared" ca="1" si="5"/>
        <v>109.31070969923633</v>
      </c>
      <c r="H20" t="s">
        <v>23</v>
      </c>
      <c r="I20"/>
    </row>
    <row r="21" spans="1:24" x14ac:dyDescent="0.35">
      <c r="A21" s="8" cm="1">
        <f t="array" aca="1" ref="A21" ca="1">CELL("row",dynamic3[[#This Row],[Pago]])-CELL("row",dynamic3[#Headers])-1</f>
        <v>9</v>
      </c>
      <c r="B21" s="9">
        <f t="shared" ca="1" si="3"/>
        <v>1356.9831502063198</v>
      </c>
      <c r="C21" s="9">
        <f t="shared" ca="1" si="6"/>
        <v>339.24578755158012</v>
      </c>
      <c r="D21" s="9"/>
      <c r="E21" s="9"/>
      <c r="F21" s="9">
        <f t="shared" ca="1" si="4"/>
        <v>339.24578755158012</v>
      </c>
      <c r="G21" s="9">
        <f t="shared" ca="1" si="5"/>
        <v>113.08192918386004</v>
      </c>
      <c r="H21" t="s">
        <v>23</v>
      </c>
      <c r="I21"/>
    </row>
    <row r="22" spans="1:24" x14ac:dyDescent="0.35">
      <c r="A22" s="8" cm="1">
        <f t="array" aca="1" ref="A22" ca="1">CELL("row",dynamic3[[#This Row],[Pago]])-CELL("row",dynamic3[#Headers])-1</f>
        <v>10</v>
      </c>
      <c r="B22" s="9">
        <f t="shared" ca="1" si="3"/>
        <v>1403.7990688884381</v>
      </c>
      <c r="C22" s="9">
        <f t="shared" ca="1" si="6"/>
        <v>233.96651148140646</v>
      </c>
      <c r="D22" s="9"/>
      <c r="E22" s="9"/>
      <c r="F22" s="9">
        <f t="shared" ca="1" si="4"/>
        <v>233.96651148140646</v>
      </c>
      <c r="G22" s="9">
        <f t="shared" ca="1" si="5"/>
        <v>116.98325574070319</v>
      </c>
      <c r="H22" t="s">
        <v>23</v>
      </c>
      <c r="I22"/>
    </row>
    <row r="23" spans="1:24" x14ac:dyDescent="0.35">
      <c r="A23">
        <v>11</v>
      </c>
      <c r="B23" s="22">
        <f>IF($A23&gt;$C$5,$H$5,$A$5*(1+$B$5)^$A23)</f>
        <v>1452.2301367650891</v>
      </c>
      <c r="C23" s="22">
        <f ca="1">IFERROR(IF(A23=0,$B23,$F22*(1+$B$5)*(1-1/(1+$C$5-$A23))),0)</f>
        <v>121.01917806375749</v>
      </c>
      <c r="D23"/>
      <c r="E23"/>
      <c r="F23" s="22">
        <f ca="1">$C23-$D23+$E$12</f>
        <v>121.01917806375749</v>
      </c>
      <c r="G23" s="22">
        <f ca="1">IF(A23=0,0,F22*(1+$B$5)-F23)</f>
        <v>121.01917806375749</v>
      </c>
      <c r="H23" t="s">
        <v>23</v>
      </c>
      <c r="I23"/>
    </row>
    <row r="24" spans="1:24" x14ac:dyDescent="0.35">
      <c r="A24">
        <v>12</v>
      </c>
      <c r="B24" s="22">
        <f>IF($A24&gt;$C$5,$H$5,$A$5*(1+$B$5)^$A24)</f>
        <v>1502.3320764834846</v>
      </c>
      <c r="C24" s="22">
        <f ca="1">IFERROR(IF(A24=0,$B24,$F23*(1+$B$5)*(1-1/(1+$C$5-$A24))),0)</f>
        <v>0</v>
      </c>
      <c r="D24"/>
      <c r="E24"/>
      <c r="F24" s="22">
        <f ca="1">$C24-$D24+$E$12</f>
        <v>0</v>
      </c>
      <c r="G24" s="22">
        <f ca="1">IF(A24=0,0,F23*(1+$B$5)-F24)</f>
        <v>125.19433970695712</v>
      </c>
      <c r="H24" t="s">
        <v>23</v>
      </c>
      <c r="I24"/>
    </row>
    <row r="26" spans="1:24" x14ac:dyDescent="0.35">
      <c r="E26" s="12"/>
    </row>
    <row r="28" spans="1:24" x14ac:dyDescent="0.35">
      <c r="E28" s="1">
        <f>5+F28</f>
        <v>5</v>
      </c>
    </row>
  </sheetData>
  <mergeCells count="7">
    <mergeCell ref="B10:C10"/>
    <mergeCell ref="A8:I8"/>
    <mergeCell ref="A1:J1"/>
    <mergeCell ref="A2:F2"/>
    <mergeCell ref="G2:J2"/>
    <mergeCell ref="F3:G3"/>
    <mergeCell ref="H3:I3"/>
  </mergeCells>
  <dataValidations count="2">
    <dataValidation type="list" allowBlank="1" showInputMessage="1" showErrorMessage="1" sqref="D5" xr:uid="{62A37F6A-3B46-42B9-BBEB-5D0DF0045F41}">
      <formula1>"DAY,MONTH,YEAR"</formula1>
    </dataValidation>
    <dataValidation type="list" allowBlank="1" showInputMessage="1" showErrorMessage="1" sqref="H12:H24" xr:uid="{8CFF1D82-AD0F-4F2E-8004-BB85124D1328}">
      <formula1>"OK,PENDING"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81D07-F043-4167-963D-E011EB2155E9}">
  <sheetPr codeName="Sheet5"/>
  <dimension ref="A2:Z10"/>
  <sheetViews>
    <sheetView workbookViewId="0">
      <selection activeCell="K3" sqref="K3"/>
    </sheetView>
  </sheetViews>
  <sheetFormatPr defaultRowHeight="14.5" x14ac:dyDescent="0.35"/>
  <cols>
    <col min="1" max="1" width="12.6328125" style="1" customWidth="1"/>
    <col min="2" max="2" width="12.7265625" style="2" customWidth="1"/>
    <col min="3" max="3" width="10.26953125" style="1" customWidth="1"/>
    <col min="4" max="4" width="10.08984375" style="32" customWidth="1"/>
    <col min="5" max="5" width="15.54296875" style="1" customWidth="1"/>
    <col min="6" max="6" width="19.6328125" style="1" customWidth="1"/>
    <col min="7" max="7" width="11" style="1" customWidth="1"/>
    <col min="8" max="8" width="11.1796875" style="1" customWidth="1"/>
    <col min="9" max="9" width="17.1796875" style="28" customWidth="1"/>
    <col min="10" max="10" width="17.36328125" style="28" customWidth="1"/>
    <col min="11" max="11" width="12.90625" style="28" customWidth="1"/>
    <col min="12" max="12" width="12.90625" style="1" customWidth="1"/>
    <col min="13" max="14" width="8.7265625" style="1"/>
    <col min="15" max="15" width="11.08984375" style="1" customWidth="1"/>
    <col min="16" max="16" width="9.1796875" style="1" customWidth="1"/>
    <col min="17" max="17" width="17.1796875" style="1" customWidth="1"/>
    <col min="18" max="18" width="17.36328125" style="2" customWidth="1"/>
    <col min="19" max="19" width="18.08984375" style="2" customWidth="1"/>
    <col min="20" max="20" width="10.36328125" style="2" customWidth="1"/>
    <col min="21" max="21" width="15.36328125" style="2" customWidth="1"/>
    <col min="22" max="22" width="11.6328125" style="2" bestFit="1" customWidth="1"/>
    <col min="23" max="23" width="8.7265625" style="2"/>
    <col min="24" max="25" width="8.7265625" style="1"/>
    <col min="26" max="26" width="9.81640625" style="1" customWidth="1"/>
    <col min="27" max="16384" width="8.7265625" style="1"/>
  </cols>
  <sheetData>
    <row r="2" spans="1:26" x14ac:dyDescent="0.35">
      <c r="A2" t="s">
        <v>31</v>
      </c>
      <c r="B2" s="22" t="s">
        <v>0</v>
      </c>
      <c r="C2" t="s">
        <v>6</v>
      </c>
      <c r="D2" s="31" t="s">
        <v>3</v>
      </c>
      <c r="E2" t="s">
        <v>2</v>
      </c>
      <c r="F2" t="s">
        <v>21</v>
      </c>
      <c r="G2" t="s">
        <v>12</v>
      </c>
      <c r="H2" t="s">
        <v>13</v>
      </c>
      <c r="I2" s="27" t="s">
        <v>10</v>
      </c>
      <c r="J2" s="27" t="s">
        <v>11</v>
      </c>
      <c r="K2" s="27" t="s">
        <v>5</v>
      </c>
      <c r="L2" t="s">
        <v>39</v>
      </c>
      <c r="O2" t="s">
        <v>50</v>
      </c>
      <c r="P2" t="s">
        <v>31</v>
      </c>
      <c r="Q2" t="s">
        <v>1</v>
      </c>
      <c r="R2" s="22" t="s">
        <v>10</v>
      </c>
      <c r="S2" s="22" t="s">
        <v>11</v>
      </c>
      <c r="T2" s="22" t="s">
        <v>17</v>
      </c>
      <c r="U2" s="22" t="s">
        <v>18</v>
      </c>
      <c r="V2" s="29" t="s">
        <v>25</v>
      </c>
      <c r="W2" s="29" t="s">
        <v>24</v>
      </c>
      <c r="X2" t="s">
        <v>20</v>
      </c>
      <c r="Y2" t="s">
        <v>51</v>
      </c>
      <c r="Z2" t="s">
        <v>52</v>
      </c>
    </row>
    <row r="3" spans="1:26" x14ac:dyDescent="0.35">
      <c r="A3">
        <v>2</v>
      </c>
      <c r="B3" s="22">
        <v>5000</v>
      </c>
      <c r="C3">
        <v>3.4500000000000003E-2</v>
      </c>
      <c r="D3" s="31">
        <v>6</v>
      </c>
      <c r="E3" t="s">
        <v>4</v>
      </c>
      <c r="F3" t="s">
        <v>53</v>
      </c>
      <c r="G3" s="30">
        <v>45580</v>
      </c>
      <c r="H3" s="30">
        <v>45762</v>
      </c>
      <c r="I3" s="27">
        <v>6128.4828393401822</v>
      </c>
      <c r="J3" s="27">
        <v>5620.8030087775142</v>
      </c>
      <c r="K3" s="27">
        <v>936.80050146291899</v>
      </c>
      <c r="L3" t="s">
        <v>54</v>
      </c>
      <c r="O3" t="str">
        <f>"Op"&amp;OpsData[[#This Row],[Operation]]&amp;"No"&amp;IF(ISBLANK(OpsData[[#This Row],[Período]]),"0",OpsData[[#This Row],[Período]])</f>
        <v>Op1No0</v>
      </c>
      <c r="P3">
        <v>1</v>
      </c>
      <c r="Q3">
        <v>0</v>
      </c>
      <c r="R3" s="22">
        <v>10000</v>
      </c>
      <c r="S3" s="22">
        <v>10000</v>
      </c>
      <c r="T3" s="22">
        <v>200</v>
      </c>
      <c r="U3" s="22">
        <v>20</v>
      </c>
      <c r="V3" s="22">
        <v>7820</v>
      </c>
      <c r="W3" s="22"/>
      <c r="X3"/>
      <c r="Y3">
        <f>ROW()</f>
        <v>3</v>
      </c>
      <c r="Z3"/>
    </row>
    <row r="4" spans="1:26" x14ac:dyDescent="0.35">
      <c r="A4">
        <v>3</v>
      </c>
      <c r="B4" s="22">
        <v>5000</v>
      </c>
      <c r="C4">
        <v>3.4500000000000003E-2</v>
      </c>
      <c r="D4" s="31">
        <v>6</v>
      </c>
      <c r="E4" t="s">
        <v>4</v>
      </c>
      <c r="F4" t="s">
        <v>53</v>
      </c>
      <c r="G4" s="30">
        <v>45580</v>
      </c>
      <c r="H4" s="30">
        <v>45762</v>
      </c>
      <c r="I4" s="27">
        <v>6128.4828393401822</v>
      </c>
      <c r="J4" s="27">
        <v>5620.8030087775142</v>
      </c>
      <c r="K4" s="27">
        <v>936.80050146291899</v>
      </c>
      <c r="L4" t="s">
        <v>54</v>
      </c>
      <c r="O4" t="str">
        <f>"Op"&amp;OpsData[[#This Row],[Operation]]&amp;"No"&amp;IF(ISBLANK(OpsData[[#This Row],[Período]]),"0",OpsData[[#This Row],[Período]])</f>
        <v>Op2No1</v>
      </c>
      <c r="P4">
        <v>2</v>
      </c>
      <c r="Q4">
        <v>1</v>
      </c>
      <c r="R4" s="22"/>
      <c r="S4" s="22"/>
      <c r="T4" s="22"/>
      <c r="U4" s="22"/>
      <c r="V4" s="22"/>
      <c r="W4" s="22"/>
      <c r="X4"/>
      <c r="Y4">
        <f>ROW()</f>
        <v>4</v>
      </c>
      <c r="Z4"/>
    </row>
    <row r="5" spans="1:26" x14ac:dyDescent="0.35">
      <c r="A5">
        <v>4</v>
      </c>
      <c r="B5" s="22">
        <v>5000</v>
      </c>
      <c r="C5">
        <v>3.4500000000000003E-2</v>
      </c>
      <c r="D5" s="31">
        <v>6</v>
      </c>
      <c r="E5" t="s">
        <v>4</v>
      </c>
      <c r="F5" t="s">
        <v>53</v>
      </c>
      <c r="G5" s="30">
        <v>45580</v>
      </c>
      <c r="H5" s="30">
        <v>45762</v>
      </c>
      <c r="I5" s="27">
        <v>6128.4828393401822</v>
      </c>
      <c r="J5" s="27">
        <v>5620.8030087775142</v>
      </c>
      <c r="K5" s="27">
        <v>936.80050146291899</v>
      </c>
      <c r="L5" t="s">
        <v>54</v>
      </c>
      <c r="O5" t="str">
        <f>"Op"&amp;OpsData[[#This Row],[Operation]]&amp;"No"&amp;IF(ISBLANK(OpsData[[#This Row],[Período]]),"0",OpsData[[#This Row],[Período]])</f>
        <v>Op2No2</v>
      </c>
      <c r="P5">
        <v>2</v>
      </c>
      <c r="Q5">
        <v>2</v>
      </c>
      <c r="R5" s="22"/>
      <c r="S5" s="22"/>
      <c r="T5" s="22"/>
      <c r="U5" s="22"/>
      <c r="V5" s="22"/>
      <c r="W5" s="22"/>
      <c r="X5"/>
      <c r="Y5">
        <f>ROW()</f>
        <v>5</v>
      </c>
      <c r="Z5"/>
    </row>
    <row r="6" spans="1:26" x14ac:dyDescent="0.35">
      <c r="A6">
        <v>5</v>
      </c>
      <c r="B6" s="22">
        <v>4999.9999999999982</v>
      </c>
      <c r="C6">
        <v>3.4500000000000003E-2</v>
      </c>
      <c r="D6" s="31">
        <v>6</v>
      </c>
      <c r="E6" t="s">
        <v>4</v>
      </c>
      <c r="F6" t="s">
        <v>53</v>
      </c>
      <c r="G6" s="30">
        <v>45580</v>
      </c>
      <c r="H6" s="30">
        <v>45762</v>
      </c>
      <c r="I6" s="27">
        <v>6128.4828393401804</v>
      </c>
      <c r="J6" s="27">
        <v>5620.8030087775114</v>
      </c>
      <c r="K6" s="27">
        <v>936.80050146291865</v>
      </c>
      <c r="L6" t="s">
        <v>54</v>
      </c>
      <c r="O6" t="str">
        <f>"Op"&amp;OpsData[[#This Row],[Operation]]&amp;"No"&amp;IF(ISBLANK(OpsData[[#This Row],[Período]]),"0",OpsData[[#This Row],[Período]])</f>
        <v>Op1No2</v>
      </c>
      <c r="P6">
        <v>1</v>
      </c>
      <c r="Q6">
        <v>2</v>
      </c>
      <c r="R6" s="22"/>
      <c r="S6" s="22"/>
      <c r="T6" s="22"/>
      <c r="U6" s="22"/>
      <c r="V6" s="22"/>
      <c r="W6" s="22"/>
      <c r="X6"/>
      <c r="Y6">
        <f>ROW()</f>
        <v>6</v>
      </c>
      <c r="Z6"/>
    </row>
    <row r="7" spans="1:26" x14ac:dyDescent="0.35">
      <c r="A7" s="1">
        <v>6</v>
      </c>
      <c r="B7" s="2">
        <v>4999.9999999999982</v>
      </c>
      <c r="C7" s="1">
        <v>3.4500000000000003E-2</v>
      </c>
      <c r="D7" s="32">
        <v>6</v>
      </c>
      <c r="E7" s="1" t="s">
        <v>4</v>
      </c>
      <c r="F7" s="1" t="s">
        <v>53</v>
      </c>
      <c r="G7" s="26">
        <v>45580</v>
      </c>
      <c r="H7" s="26">
        <v>45762</v>
      </c>
      <c r="I7" s="28">
        <v>6128.4828393401804</v>
      </c>
      <c r="J7" s="28">
        <v>5620.8030087775114</v>
      </c>
      <c r="K7" s="28">
        <v>936.80050146291865</v>
      </c>
      <c r="L7" s="1" t="s">
        <v>54</v>
      </c>
      <c r="O7" t="str">
        <f>"Op"&amp;OpsData[[#This Row],[Operation]]&amp;"No"&amp;IF(ISBLANK(OpsData[[#This Row],[Período]]),"0",OpsData[[#This Row],[Período]])</f>
        <v>Op3No1</v>
      </c>
      <c r="P7">
        <v>3</v>
      </c>
      <c r="Q7">
        <v>1</v>
      </c>
      <c r="R7" s="22"/>
      <c r="S7" s="22"/>
      <c r="T7" s="22"/>
      <c r="U7" s="22"/>
      <c r="V7" s="22"/>
      <c r="W7" s="22"/>
      <c r="X7"/>
      <c r="Y7">
        <f>ROW()</f>
        <v>7</v>
      </c>
      <c r="Z7"/>
    </row>
    <row r="8" spans="1:26" x14ac:dyDescent="0.35">
      <c r="O8" t="str">
        <f>"Op"&amp;OpsData[[#This Row],[Operation]]&amp;"No"&amp;IF(ISBLANK(OpsData[[#This Row],[Período]]),"0",OpsData[[#This Row],[Período]])</f>
        <v>Op2No3</v>
      </c>
      <c r="P8">
        <v>2</v>
      </c>
      <c r="Q8">
        <v>3</v>
      </c>
      <c r="R8" s="22"/>
      <c r="S8" s="22"/>
      <c r="T8" s="22"/>
      <c r="U8" s="22"/>
      <c r="V8" s="22"/>
      <c r="W8" s="22"/>
      <c r="X8"/>
      <c r="Y8">
        <f>ROW()</f>
        <v>8</v>
      </c>
      <c r="Z8"/>
    </row>
    <row r="9" spans="1:26" x14ac:dyDescent="0.35">
      <c r="O9" t="str">
        <f>"Op"&amp;OpsData[[#This Row],[Operation]]&amp;"No"&amp;IF(ISBLANK(OpsData[[#This Row],[Período]]),"0",OpsData[[#This Row],[Período]])</f>
        <v>Op3No2</v>
      </c>
      <c r="P9">
        <v>3</v>
      </c>
      <c r="Q9">
        <v>2</v>
      </c>
      <c r="R9" s="22"/>
      <c r="S9" s="22"/>
      <c r="T9" s="22"/>
      <c r="U9" s="22"/>
      <c r="V9" s="22"/>
      <c r="W9" s="22"/>
      <c r="X9"/>
      <c r="Y9">
        <f>ROW()</f>
        <v>9</v>
      </c>
      <c r="Z9"/>
    </row>
    <row r="10" spans="1:26" x14ac:dyDescent="0.35">
      <c r="O10" t="str">
        <f>"Op"&amp;OpsData[[#This Row],[Operation]]&amp;"No"&amp;IF(ISBLANK(OpsData[[#This Row],[Período]]),"0",OpsData[[#This Row],[Período]])</f>
        <v>Op2No4</v>
      </c>
      <c r="P10">
        <v>2</v>
      </c>
      <c r="Q10">
        <v>4</v>
      </c>
      <c r="R10" s="22"/>
      <c r="S10" s="22"/>
      <c r="T10" s="22"/>
      <c r="U10" s="22"/>
      <c r="V10" s="22"/>
      <c r="W10" s="22"/>
      <c r="X10"/>
      <c r="Y10">
        <f>ROW()</f>
        <v>10</v>
      </c>
      <c r="Z10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E3D96-7470-46CF-B5FB-84E0CF46A9BD}">
  <sheetPr codeName="Sheet4"/>
  <dimension ref="A2:X8"/>
  <sheetViews>
    <sheetView workbookViewId="0">
      <selection activeCell="E3" sqref="E3"/>
    </sheetView>
  </sheetViews>
  <sheetFormatPr defaultRowHeight="14.5" x14ac:dyDescent="0.35"/>
  <cols>
    <col min="1" max="1" width="12.6328125" style="1" customWidth="1"/>
    <col min="2" max="2" width="12.7265625" style="1" customWidth="1"/>
    <col min="3" max="3" width="10.26953125" style="1" customWidth="1"/>
    <col min="4" max="4" width="10.08984375" style="1" customWidth="1"/>
    <col min="5" max="5" width="15.54296875" style="1" customWidth="1"/>
    <col min="6" max="6" width="19.6328125" style="1" customWidth="1"/>
    <col min="7" max="7" width="10.08984375" style="1" bestFit="1" customWidth="1"/>
    <col min="8" max="8" width="11.453125" style="1" customWidth="1"/>
    <col min="9" max="9" width="17.1796875" style="1" customWidth="1"/>
    <col min="10" max="10" width="17.36328125" style="1" customWidth="1"/>
    <col min="11" max="12" width="12.90625" style="1" customWidth="1"/>
    <col min="13" max="14" width="8.7265625" style="1"/>
    <col min="15" max="15" width="11.08984375" style="1" customWidth="1"/>
    <col min="16" max="16" width="9.1796875" style="1" customWidth="1"/>
    <col min="17" max="17" width="17.1796875" style="1" customWidth="1"/>
    <col min="18" max="18" width="17.36328125" style="1" customWidth="1"/>
    <col min="19" max="19" width="18.08984375" style="1" customWidth="1"/>
    <col min="20" max="20" width="10.36328125" style="1" customWidth="1"/>
    <col min="21" max="21" width="15.36328125" style="1" customWidth="1"/>
    <col min="22" max="23" width="8.7265625" style="1"/>
    <col min="24" max="24" width="18.08984375" style="1" bestFit="1" customWidth="1"/>
    <col min="25" max="16384" width="8.7265625" style="1"/>
  </cols>
  <sheetData>
    <row r="2" spans="1:24" x14ac:dyDescent="0.35">
      <c r="A2" t="s">
        <v>31</v>
      </c>
      <c r="B2" t="s">
        <v>0</v>
      </c>
      <c r="C2" t="s">
        <v>6</v>
      </c>
      <c r="D2" t="s">
        <v>3</v>
      </c>
      <c r="E2" t="s">
        <v>2</v>
      </c>
      <c r="F2" t="s">
        <v>21</v>
      </c>
      <c r="G2" t="s">
        <v>12</v>
      </c>
      <c r="H2" t="s">
        <v>13</v>
      </c>
      <c r="I2" t="s">
        <v>10</v>
      </c>
      <c r="J2" t="s">
        <v>11</v>
      </c>
      <c r="K2" t="s">
        <v>5</v>
      </c>
      <c r="L2" t="s">
        <v>39</v>
      </c>
      <c r="O2" t="s">
        <v>50</v>
      </c>
      <c r="P2" t="s">
        <v>31</v>
      </c>
      <c r="Q2" t="s">
        <v>1</v>
      </c>
      <c r="R2" t="s">
        <v>10</v>
      </c>
      <c r="S2" t="s">
        <v>11</v>
      </c>
      <c r="T2" t="s">
        <v>17</v>
      </c>
      <c r="U2" t="s">
        <v>18</v>
      </c>
      <c r="V2" s="8" t="s">
        <v>25</v>
      </c>
      <c r="W2" s="8" t="s">
        <v>24</v>
      </c>
      <c r="X2" t="s">
        <v>20</v>
      </c>
    </row>
    <row r="3" spans="1:24" x14ac:dyDescent="0.35">
      <c r="A3" s="25">
        <v>1</v>
      </c>
      <c r="B3" s="22">
        <v>1000</v>
      </c>
      <c r="C3" s="23">
        <v>3.4500000000000003E-2</v>
      </c>
      <c r="D3" s="8">
        <v>12</v>
      </c>
      <c r="E3" s="8" t="s">
        <v>4</v>
      </c>
      <c r="F3" s="24">
        <v>45545</v>
      </c>
      <c r="G3" s="24">
        <v>45545</v>
      </c>
      <c r="H3" s="24">
        <v>45910</v>
      </c>
      <c r="I3" s="22">
        <v>1502.3320764834846</v>
      </c>
      <c r="J3" s="22">
        <v>1255.2235099569205</v>
      </c>
      <c r="K3" s="22">
        <v>103.17966752494308</v>
      </c>
      <c r="L3"/>
      <c r="O3" t="str">
        <f>"Op"&amp;OpsData[[#This Row],[Operation]]&amp;"No"&amp;IF(ISBLANK(OpsData[[#This Row],[Período]]),"0",OpsData[[#This Row],[Período]])</f>
        <v>Op1No0</v>
      </c>
      <c r="P3">
        <v>1</v>
      </c>
      <c r="Q3">
        <v>0</v>
      </c>
      <c r="R3"/>
      <c r="S3"/>
      <c r="T3"/>
      <c r="U3"/>
      <c r="V3"/>
      <c r="W3"/>
      <c r="X3"/>
    </row>
    <row r="7" spans="1:24" ht="15" thickBot="1" x14ac:dyDescent="0.4"/>
    <row r="8" spans="1:24" x14ac:dyDescent="0.35">
      <c r="E8" s="14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4F5D5-2355-4CA8-A0F8-9BFE09A11B98}">
  <sheetPr codeName="Sheet3"/>
  <dimension ref="A1:D8"/>
  <sheetViews>
    <sheetView workbookViewId="0">
      <selection activeCell="F14" sqref="F14"/>
    </sheetView>
  </sheetViews>
  <sheetFormatPr defaultRowHeight="14.5" x14ac:dyDescent="0.35"/>
  <cols>
    <col min="1" max="1" width="20.81640625" style="1" bestFit="1" customWidth="1"/>
    <col min="2" max="2" width="19.453125" style="1" bestFit="1" customWidth="1"/>
    <col min="3" max="3" width="8.7265625" style="1"/>
    <col min="4" max="4" width="11.1796875" style="1" bestFit="1" customWidth="1"/>
    <col min="5" max="16384" width="8.7265625" style="1"/>
  </cols>
  <sheetData>
    <row r="1" spans="1:4" x14ac:dyDescent="0.35">
      <c r="A1" s="1" t="s">
        <v>41</v>
      </c>
      <c r="B1" s="1" t="s">
        <v>42</v>
      </c>
      <c r="D1" s="1" t="s">
        <v>43</v>
      </c>
    </row>
    <row r="3" spans="1:4" x14ac:dyDescent="0.35">
      <c r="A3" s="1" t="s">
        <v>44</v>
      </c>
    </row>
    <row r="4" spans="1:4" x14ac:dyDescent="0.35">
      <c r="A4" s="1" t="s">
        <v>45</v>
      </c>
    </row>
    <row r="5" spans="1:4" x14ac:dyDescent="0.35">
      <c r="A5" s="1" t="s">
        <v>46</v>
      </c>
    </row>
    <row r="6" spans="1:4" x14ac:dyDescent="0.35">
      <c r="A6" s="1" t="s">
        <v>47</v>
      </c>
      <c r="B6" s="1">
        <v>1</v>
      </c>
    </row>
    <row r="7" spans="1:4" x14ac:dyDescent="0.35">
      <c r="A7" s="1" t="s">
        <v>48</v>
      </c>
      <c r="B7" s="1">
        <v>1</v>
      </c>
    </row>
    <row r="8" spans="1:4" x14ac:dyDescent="0.35">
      <c r="A8" s="1" t="s">
        <v>49</v>
      </c>
      <c r="B8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31518-1703-4A14-B38B-240D76C752E7}">
  <sheetPr codeName="Sheet6"/>
  <dimension ref="B2:I2"/>
  <sheetViews>
    <sheetView workbookViewId="0">
      <selection activeCell="B4" sqref="B4"/>
    </sheetView>
  </sheetViews>
  <sheetFormatPr defaultRowHeight="14.5" x14ac:dyDescent="0.35"/>
  <cols>
    <col min="1" max="3" width="8.7265625" style="1"/>
    <col min="4" max="4" width="8.90625" style="1" bestFit="1" customWidth="1"/>
    <col min="5" max="7" width="8.7265625" style="1"/>
    <col min="8" max="8" width="9.36328125" style="1" customWidth="1"/>
    <col min="9" max="16384" width="8.7265625" style="1"/>
  </cols>
  <sheetData>
    <row r="2" spans="2:9" x14ac:dyDescent="0.35">
      <c r="B2" s="1" t="s">
        <v>32</v>
      </c>
      <c r="C2" s="1" t="s">
        <v>33</v>
      </c>
      <c r="D2" s="1" t="s">
        <v>31</v>
      </c>
      <c r="E2" s="1" t="s">
        <v>34</v>
      </c>
      <c r="F2" s="1" t="s">
        <v>35</v>
      </c>
      <c r="G2" s="1" t="s">
        <v>36</v>
      </c>
      <c r="H2" s="1" t="s">
        <v>37</v>
      </c>
      <c r="I2" s="1" t="s">
        <v>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aac0ad3-18d9-49e9-a80d-c985041778ba}" enabled="1" method="Standard" siteId="{c3e32f53-cb7f-4809-968d-1cc4ccc785f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Test</vt:lpstr>
      <vt:lpstr>Application</vt:lpstr>
      <vt:lpstr>Active</vt:lpstr>
      <vt:lpstr>Hist</vt:lpstr>
      <vt:lpstr>Script</vt:lpstr>
      <vt:lpstr>currentOp</vt:lpstr>
      <vt:lpstr>currentPeriod</vt:lpstr>
      <vt:lpstr>dynamicTable</vt:lpstr>
      <vt:lpstr>EventRunner</vt:lpstr>
      <vt:lpstr>lastOp</vt:lpstr>
      <vt:lpstr>magicEditor</vt:lpstr>
      <vt:lpstr>oldValue</vt:lpstr>
    </vt:vector>
  </TitlesOfParts>
  <Company>Dow Chemical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Rocha, Felipe (FL)</dc:creator>
  <cp:lastModifiedBy>Rocha, Felipe (FL)</cp:lastModifiedBy>
  <dcterms:created xsi:type="dcterms:W3CDTF">2024-09-09T14:35:27Z</dcterms:created>
  <dcterms:modified xsi:type="dcterms:W3CDTF">2024-12-09T13:33:57Z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aac0ad3-18d9-49e9-a80d-c985041778ba_Enabled">
    <vt:lpwstr>true</vt:lpwstr>
  </property>
  <property fmtid="{D5CDD505-2E9C-101B-9397-08002B2CF9AE}" pid="3" name="MSIP_Label_3aac0ad3-18d9-49e9-a80d-c985041778ba_SetDate">
    <vt:lpwstr>2024-09-09T15:03:34Z</vt:lpwstr>
  </property>
  <property fmtid="{D5CDD505-2E9C-101B-9397-08002B2CF9AE}" pid="4" name="MSIP_Label_3aac0ad3-18d9-49e9-a80d-c985041778ba_Method">
    <vt:lpwstr>Standard</vt:lpwstr>
  </property>
  <property fmtid="{D5CDD505-2E9C-101B-9397-08002B2CF9AE}" pid="5" name="MSIP_Label_3aac0ad3-18d9-49e9-a80d-c985041778ba_Name">
    <vt:lpwstr>General Business</vt:lpwstr>
  </property>
  <property fmtid="{D5CDD505-2E9C-101B-9397-08002B2CF9AE}" pid="6" name="MSIP_Label_3aac0ad3-18d9-49e9-a80d-c985041778ba_SiteId">
    <vt:lpwstr>c3e32f53-cb7f-4809-968d-1cc4ccc785fe</vt:lpwstr>
  </property>
  <property fmtid="{D5CDD505-2E9C-101B-9397-08002B2CF9AE}" pid="7" name="MSIP_Label_3aac0ad3-18d9-49e9-a80d-c985041778ba_ActionId">
    <vt:lpwstr>6bdafb62-5fa8-460f-966a-46512d449dcf</vt:lpwstr>
  </property>
  <property fmtid="{D5CDD505-2E9C-101B-9397-08002B2CF9AE}" pid="8" name="MSIP_Label_3aac0ad3-18d9-49e9-a80d-c985041778ba_ContentBits">
    <vt:lpwstr>2</vt:lpwstr>
  </property>
</Properties>
</file>