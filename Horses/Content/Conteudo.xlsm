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120" yWindow="30" windowWidth="20115" windowHeight="7755" activeTab="4"/>
  </bookViews>
  <sheets>
    <sheet name="Jockey" sheetId="1" r:id="rId1"/>
    <sheet name="Cavalo" sheetId="2" r:id="rId2"/>
    <sheet name="Mercados" sheetId="3" r:id="rId3"/>
    <sheet name="Dólar" sheetId="4" r:id="rId4"/>
    <sheet name="Selecionados" sheetId="5" r:id="rId5"/>
  </sheets>
  <calcPr calcId="145621"/>
</workbook>
</file>

<file path=xl/calcChain.xml><?xml version="1.0" encoding="utf-8"?>
<calcChain xmlns="http://schemas.openxmlformats.org/spreadsheetml/2006/main">
  <c r="U4" i="1" l="1"/>
  <c r="U3" i="1"/>
  <c r="U2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2" i="1"/>
  <c r="H2" i="5"/>
  <c r="I4" i="5" s="1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" i="4"/>
  <c r="L4" i="4"/>
  <c r="K4" i="4" s="1"/>
  <c r="L5" i="4"/>
  <c r="K5" i="4" s="1"/>
  <c r="L6" i="4"/>
  <c r="L7" i="4"/>
  <c r="K7" i="4" s="1"/>
  <c r="L8" i="4"/>
  <c r="K8" i="4" s="1"/>
  <c r="L9" i="4"/>
  <c r="K9" i="4" s="1"/>
  <c r="L10" i="4"/>
  <c r="L11" i="4"/>
  <c r="K11" i="4" s="1"/>
  <c r="L12" i="4"/>
  <c r="K12" i="4" s="1"/>
  <c r="L13" i="4"/>
  <c r="K13" i="4" s="1"/>
  <c r="L14" i="4"/>
  <c r="L15" i="4"/>
  <c r="K15" i="4" s="1"/>
  <c r="L16" i="4"/>
  <c r="K16" i="4" s="1"/>
  <c r="L17" i="4"/>
  <c r="K17" i="4" s="1"/>
  <c r="H3" i="5" s="1"/>
  <c r="L18" i="4"/>
  <c r="L19" i="4"/>
  <c r="K19" i="4" s="1"/>
  <c r="L20" i="4"/>
  <c r="K20" i="4" s="1"/>
  <c r="L21" i="4"/>
  <c r="K21" i="4" s="1"/>
  <c r="L22" i="4"/>
  <c r="L23" i="4"/>
  <c r="K23" i="4" s="1"/>
  <c r="L24" i="4"/>
  <c r="K24" i="4" s="1"/>
  <c r="L25" i="4"/>
  <c r="K25" i="4" s="1"/>
  <c r="L26" i="4"/>
  <c r="L27" i="4"/>
  <c r="K27" i="4" s="1"/>
  <c r="L28" i="4"/>
  <c r="K28" i="4" s="1"/>
  <c r="L29" i="4"/>
  <c r="K29" i="4" s="1"/>
  <c r="L30" i="4"/>
  <c r="L31" i="4"/>
  <c r="K31" i="4" s="1"/>
  <c r="L32" i="4"/>
  <c r="K32" i="4" s="1"/>
  <c r="L33" i="4"/>
  <c r="K33" i="4" s="1"/>
  <c r="L34" i="4"/>
  <c r="L35" i="4"/>
  <c r="K35" i="4" s="1"/>
  <c r="L36" i="4"/>
  <c r="K36" i="4" s="1"/>
  <c r="L37" i="4"/>
  <c r="K37" i="4" s="1"/>
  <c r="L38" i="4"/>
  <c r="L39" i="4"/>
  <c r="K39" i="4" s="1"/>
  <c r="L40" i="4"/>
  <c r="K40" i="4" s="1"/>
  <c r="L41" i="4"/>
  <c r="K41" i="4" s="1"/>
  <c r="L42" i="4"/>
  <c r="L43" i="4"/>
  <c r="K43" i="4" s="1"/>
  <c r="L44" i="4"/>
  <c r="K44" i="4" s="1"/>
  <c r="L45" i="4"/>
  <c r="K45" i="4" s="1"/>
  <c r="L46" i="4"/>
  <c r="L47" i="4"/>
  <c r="K47" i="4" s="1"/>
  <c r="L48" i="4"/>
  <c r="K48" i="4" s="1"/>
  <c r="L49" i="4"/>
  <c r="K49" i="4" s="1"/>
  <c r="L50" i="4"/>
  <c r="L51" i="4"/>
  <c r="K51" i="4" s="1"/>
  <c r="L52" i="4"/>
  <c r="K52" i="4" s="1"/>
  <c r="L53" i="4"/>
  <c r="K53" i="4" s="1"/>
  <c r="L54" i="4"/>
  <c r="L55" i="4"/>
  <c r="K55" i="4" s="1"/>
  <c r="L56" i="4"/>
  <c r="K56" i="4" s="1"/>
  <c r="L57" i="4"/>
  <c r="K57" i="4" s="1"/>
  <c r="L58" i="4"/>
  <c r="L59" i="4"/>
  <c r="K59" i="4" s="1"/>
  <c r="L60" i="4"/>
  <c r="K60" i="4" s="1"/>
  <c r="L61" i="4"/>
  <c r="K61" i="4" s="1"/>
  <c r="L62" i="4"/>
  <c r="L63" i="4"/>
  <c r="K63" i="4" s="1"/>
  <c r="L64" i="4"/>
  <c r="K64" i="4" s="1"/>
  <c r="L65" i="4"/>
  <c r="K65" i="4" s="1"/>
  <c r="L66" i="4"/>
  <c r="L67" i="4"/>
  <c r="K67" i="4" s="1"/>
  <c r="L68" i="4"/>
  <c r="K68" i="4" s="1"/>
  <c r="L69" i="4"/>
  <c r="K69" i="4" s="1"/>
  <c r="L70" i="4"/>
  <c r="L71" i="4"/>
  <c r="K71" i="4" s="1"/>
  <c r="L72" i="4"/>
  <c r="K72" i="4" s="1"/>
  <c r="L73" i="4"/>
  <c r="K73" i="4" s="1"/>
  <c r="L74" i="4"/>
  <c r="L75" i="4"/>
  <c r="K75" i="4" s="1"/>
  <c r="L76" i="4"/>
  <c r="K76" i="4" s="1"/>
  <c r="L77" i="4"/>
  <c r="K77" i="4" s="1"/>
  <c r="L78" i="4"/>
  <c r="L79" i="4"/>
  <c r="K79" i="4" s="1"/>
  <c r="L80" i="4"/>
  <c r="K80" i="4" s="1"/>
  <c r="L81" i="4"/>
  <c r="K81" i="4" s="1"/>
  <c r="L82" i="4"/>
  <c r="L83" i="4"/>
  <c r="K83" i="4" s="1"/>
  <c r="L84" i="4"/>
  <c r="K84" i="4" s="1"/>
  <c r="L85" i="4"/>
  <c r="K85" i="4" s="1"/>
  <c r="L86" i="4"/>
  <c r="L87" i="4"/>
  <c r="K87" i="4" s="1"/>
  <c r="L88" i="4"/>
  <c r="K88" i="4" s="1"/>
  <c r="L89" i="4"/>
  <c r="K89" i="4" s="1"/>
  <c r="L90" i="4"/>
  <c r="L91" i="4"/>
  <c r="K91" i="4" s="1"/>
  <c r="L92" i="4"/>
  <c r="K92" i="4" s="1"/>
  <c r="L93" i="4"/>
  <c r="K93" i="4" s="1"/>
  <c r="L94" i="4"/>
  <c r="L95" i="4"/>
  <c r="K95" i="4" s="1"/>
  <c r="L96" i="4"/>
  <c r="K96" i="4" s="1"/>
  <c r="L97" i="4"/>
  <c r="K97" i="4" s="1"/>
  <c r="L98" i="4"/>
  <c r="L99" i="4"/>
  <c r="K99" i="4" s="1"/>
  <c r="L100" i="4"/>
  <c r="K100" i="4" s="1"/>
  <c r="L101" i="4"/>
  <c r="K101" i="4" s="1"/>
  <c r="L102" i="4"/>
  <c r="L103" i="4"/>
  <c r="K103" i="4" s="1"/>
  <c r="L104" i="4"/>
  <c r="K104" i="4" s="1"/>
  <c r="L105" i="4"/>
  <c r="K105" i="4" s="1"/>
  <c r="L106" i="4"/>
  <c r="L107" i="4"/>
  <c r="K107" i="4" s="1"/>
  <c r="L108" i="4"/>
  <c r="K108" i="4" s="1"/>
  <c r="L109" i="4"/>
  <c r="K109" i="4" s="1"/>
  <c r="L110" i="4"/>
  <c r="L111" i="4"/>
  <c r="K111" i="4" s="1"/>
  <c r="L112" i="4"/>
  <c r="K112" i="4" s="1"/>
  <c r="L113" i="4"/>
  <c r="K113" i="4" s="1"/>
  <c r="L114" i="4"/>
  <c r="L115" i="4"/>
  <c r="K115" i="4" s="1"/>
  <c r="L116" i="4"/>
  <c r="K116" i="4" s="1"/>
  <c r="L117" i="4"/>
  <c r="K117" i="4" s="1"/>
  <c r="L118" i="4"/>
  <c r="L119" i="4"/>
  <c r="K119" i="4" s="1"/>
  <c r="L120" i="4"/>
  <c r="K120" i="4" s="1"/>
  <c r="L121" i="4"/>
  <c r="K121" i="4" s="1"/>
  <c r="L122" i="4"/>
  <c r="L123" i="4"/>
  <c r="K123" i="4" s="1"/>
  <c r="L124" i="4"/>
  <c r="K124" i="4" s="1"/>
  <c r="L125" i="4"/>
  <c r="K125" i="4" s="1"/>
  <c r="L126" i="4"/>
  <c r="L127" i="4"/>
  <c r="K127" i="4" s="1"/>
  <c r="L128" i="4"/>
  <c r="K128" i="4" s="1"/>
  <c r="L129" i="4"/>
  <c r="K129" i="4" s="1"/>
  <c r="L130" i="4"/>
  <c r="L131" i="4"/>
  <c r="K131" i="4" s="1"/>
  <c r="L132" i="4"/>
  <c r="K132" i="4" s="1"/>
  <c r="L133" i="4"/>
  <c r="K133" i="4" s="1"/>
  <c r="L134" i="4"/>
  <c r="L135" i="4"/>
  <c r="K135" i="4" s="1"/>
  <c r="L136" i="4"/>
  <c r="K136" i="4" s="1"/>
  <c r="L137" i="4"/>
  <c r="K137" i="4" s="1"/>
  <c r="L138" i="4"/>
  <c r="L139" i="4"/>
  <c r="K139" i="4" s="1"/>
  <c r="L140" i="4"/>
  <c r="K140" i="4" s="1"/>
  <c r="L141" i="4"/>
  <c r="K141" i="4" s="1"/>
  <c r="L142" i="4"/>
  <c r="L143" i="4"/>
  <c r="K143" i="4" s="1"/>
  <c r="L144" i="4"/>
  <c r="K144" i="4" s="1"/>
  <c r="L145" i="4"/>
  <c r="K145" i="4" s="1"/>
  <c r="L146" i="4"/>
  <c r="L147" i="4"/>
  <c r="K147" i="4" s="1"/>
  <c r="L148" i="4"/>
  <c r="K148" i="4" s="1"/>
  <c r="L149" i="4"/>
  <c r="K149" i="4" s="1"/>
  <c r="L150" i="4"/>
  <c r="L151" i="4"/>
  <c r="K151" i="4" s="1"/>
  <c r="L152" i="4"/>
  <c r="K152" i="4" s="1"/>
  <c r="L153" i="4"/>
  <c r="K153" i="4" s="1"/>
  <c r="L154" i="4"/>
  <c r="L155" i="4"/>
  <c r="K155" i="4" s="1"/>
  <c r="L156" i="4"/>
  <c r="K156" i="4" s="1"/>
  <c r="L157" i="4"/>
  <c r="K157" i="4" s="1"/>
  <c r="L158" i="4"/>
  <c r="L159" i="4"/>
  <c r="K159" i="4" s="1"/>
  <c r="L160" i="4"/>
  <c r="K160" i="4" s="1"/>
  <c r="L161" i="4"/>
  <c r="K161" i="4" s="1"/>
  <c r="L162" i="4"/>
  <c r="L163" i="4"/>
  <c r="K163" i="4" s="1"/>
  <c r="L164" i="4"/>
  <c r="K164" i="4" s="1"/>
  <c r="L165" i="4"/>
  <c r="K165" i="4" s="1"/>
  <c r="L166" i="4"/>
  <c r="L167" i="4"/>
  <c r="K167" i="4" s="1"/>
  <c r="L168" i="4"/>
  <c r="K168" i="4" s="1"/>
  <c r="L169" i="4"/>
  <c r="K169" i="4" s="1"/>
  <c r="L170" i="4"/>
  <c r="L171" i="4"/>
  <c r="K171" i="4" s="1"/>
  <c r="L172" i="4"/>
  <c r="K172" i="4" s="1"/>
  <c r="L173" i="4"/>
  <c r="K173" i="4" s="1"/>
  <c r="L174" i="4"/>
  <c r="L175" i="4"/>
  <c r="K175" i="4" s="1"/>
  <c r="L176" i="4"/>
  <c r="K176" i="4" s="1"/>
  <c r="L177" i="4"/>
  <c r="K177" i="4" s="1"/>
  <c r="L178" i="4"/>
  <c r="L179" i="4"/>
  <c r="K179" i="4" s="1"/>
  <c r="L180" i="4"/>
  <c r="K180" i="4" s="1"/>
  <c r="L181" i="4"/>
  <c r="K181" i="4" s="1"/>
  <c r="L182" i="4"/>
  <c r="L183" i="4"/>
  <c r="K183" i="4" s="1"/>
  <c r="L184" i="4"/>
  <c r="K184" i="4" s="1"/>
  <c r="L185" i="4"/>
  <c r="K185" i="4" s="1"/>
  <c r="L186" i="4"/>
  <c r="L187" i="4"/>
  <c r="K187" i="4" s="1"/>
  <c r="L188" i="4"/>
  <c r="K188" i="4" s="1"/>
  <c r="L189" i="4"/>
  <c r="K189" i="4" s="1"/>
  <c r="L190" i="4"/>
  <c r="L191" i="4"/>
  <c r="K191" i="4" s="1"/>
  <c r="L192" i="4"/>
  <c r="K192" i="4" s="1"/>
  <c r="L193" i="4"/>
  <c r="K193" i="4" s="1"/>
  <c r="L194" i="4"/>
  <c r="L195" i="4"/>
  <c r="K195" i="4" s="1"/>
  <c r="L196" i="4"/>
  <c r="K196" i="4" s="1"/>
  <c r="L197" i="4"/>
  <c r="K197" i="4" s="1"/>
  <c r="L198" i="4"/>
  <c r="L199" i="4"/>
  <c r="K199" i="4" s="1"/>
  <c r="L200" i="4"/>
  <c r="K200" i="4" s="1"/>
  <c r="L201" i="4"/>
  <c r="K201" i="4" s="1"/>
  <c r="L202" i="4"/>
  <c r="L203" i="4"/>
  <c r="K203" i="4" s="1"/>
  <c r="L204" i="4"/>
  <c r="K204" i="4" s="1"/>
  <c r="L205" i="4"/>
  <c r="K205" i="4" s="1"/>
  <c r="L206" i="4"/>
  <c r="L207" i="4"/>
  <c r="K207" i="4" s="1"/>
  <c r="L208" i="4"/>
  <c r="K208" i="4" s="1"/>
  <c r="L209" i="4"/>
  <c r="K209" i="4" s="1"/>
  <c r="L210" i="4"/>
  <c r="L211" i="4"/>
  <c r="K211" i="4" s="1"/>
  <c r="L212" i="4"/>
  <c r="K212" i="4" s="1"/>
  <c r="L213" i="4"/>
  <c r="K213" i="4" s="1"/>
  <c r="L214" i="4"/>
  <c r="L215" i="4"/>
  <c r="K215" i="4" s="1"/>
  <c r="L216" i="4"/>
  <c r="K216" i="4" s="1"/>
  <c r="L217" i="4"/>
  <c r="K217" i="4" s="1"/>
  <c r="L218" i="4"/>
  <c r="L219" i="4"/>
  <c r="K219" i="4" s="1"/>
  <c r="L220" i="4"/>
  <c r="K220" i="4" s="1"/>
  <c r="L221" i="4"/>
  <c r="K221" i="4" s="1"/>
  <c r="L222" i="4"/>
  <c r="L223" i="4"/>
  <c r="K223" i="4" s="1"/>
  <c r="L224" i="4"/>
  <c r="K224" i="4" s="1"/>
  <c r="L225" i="4"/>
  <c r="K225" i="4" s="1"/>
  <c r="L226" i="4"/>
  <c r="L227" i="4"/>
  <c r="K227" i="4" s="1"/>
  <c r="L228" i="4"/>
  <c r="K228" i="4" s="1"/>
  <c r="L229" i="4"/>
  <c r="K229" i="4" s="1"/>
  <c r="L230" i="4"/>
  <c r="L231" i="4"/>
  <c r="K231" i="4" s="1"/>
  <c r="L232" i="4"/>
  <c r="K232" i="4" s="1"/>
  <c r="L233" i="4"/>
  <c r="K233" i="4" s="1"/>
  <c r="L234" i="4"/>
  <c r="L235" i="4"/>
  <c r="K235" i="4" s="1"/>
  <c r="L236" i="4"/>
  <c r="K236" i="4" s="1"/>
  <c r="L237" i="4"/>
  <c r="K237" i="4" s="1"/>
  <c r="L238" i="4"/>
  <c r="L239" i="4"/>
  <c r="K239" i="4" s="1"/>
  <c r="L240" i="4"/>
  <c r="K240" i="4" s="1"/>
  <c r="L241" i="4"/>
  <c r="K241" i="4" s="1"/>
  <c r="L242" i="4"/>
  <c r="L243" i="4"/>
  <c r="K243" i="4" s="1"/>
  <c r="L244" i="4"/>
  <c r="K244" i="4" s="1"/>
  <c r="L245" i="4"/>
  <c r="K245" i="4" s="1"/>
  <c r="L246" i="4"/>
  <c r="L247" i="4"/>
  <c r="K247" i="4" s="1"/>
  <c r="L248" i="4"/>
  <c r="K248" i="4" s="1"/>
  <c r="L249" i="4"/>
  <c r="K249" i="4" s="1"/>
  <c r="L250" i="4"/>
  <c r="L251" i="4"/>
  <c r="K251" i="4" s="1"/>
  <c r="L252" i="4"/>
  <c r="K252" i="4" s="1"/>
  <c r="L253" i="4"/>
  <c r="K253" i="4" s="1"/>
  <c r="L254" i="4"/>
  <c r="L255" i="4"/>
  <c r="K255" i="4" s="1"/>
  <c r="L256" i="4"/>
  <c r="K256" i="4" s="1"/>
  <c r="L257" i="4"/>
  <c r="K257" i="4" s="1"/>
  <c r="L258" i="4"/>
  <c r="L259" i="4"/>
  <c r="K259" i="4" s="1"/>
  <c r="L260" i="4"/>
  <c r="K260" i="4" s="1"/>
  <c r="L261" i="4"/>
  <c r="K261" i="4" s="1"/>
  <c r="L262" i="4"/>
  <c r="L263" i="4"/>
  <c r="K263" i="4" s="1"/>
  <c r="L264" i="4"/>
  <c r="K264" i="4" s="1"/>
  <c r="L265" i="4"/>
  <c r="K265" i="4" s="1"/>
  <c r="L266" i="4"/>
  <c r="L267" i="4"/>
  <c r="K267" i="4" s="1"/>
  <c r="L268" i="4"/>
  <c r="K268" i="4" s="1"/>
  <c r="L269" i="4"/>
  <c r="K269" i="4" s="1"/>
  <c r="L270" i="4"/>
  <c r="L271" i="4"/>
  <c r="K271" i="4" s="1"/>
  <c r="L272" i="4"/>
  <c r="K272" i="4" s="1"/>
  <c r="L273" i="4"/>
  <c r="K273" i="4" s="1"/>
  <c r="L274" i="4"/>
  <c r="L275" i="4"/>
  <c r="K275" i="4" s="1"/>
  <c r="L276" i="4"/>
  <c r="K276" i="4" s="1"/>
  <c r="L277" i="4"/>
  <c r="K277" i="4" s="1"/>
  <c r="L278" i="4"/>
  <c r="L279" i="4"/>
  <c r="K279" i="4" s="1"/>
  <c r="L280" i="4"/>
  <c r="K280" i="4" s="1"/>
  <c r="L281" i="4"/>
  <c r="K281" i="4" s="1"/>
  <c r="L282" i="4"/>
  <c r="L283" i="4"/>
  <c r="K283" i="4" s="1"/>
  <c r="L284" i="4"/>
  <c r="K284" i="4" s="1"/>
  <c r="L285" i="4"/>
  <c r="K285" i="4" s="1"/>
  <c r="L286" i="4"/>
  <c r="L287" i="4"/>
  <c r="K287" i="4" s="1"/>
  <c r="L288" i="4"/>
  <c r="K288" i="4" s="1"/>
  <c r="L289" i="4"/>
  <c r="K289" i="4" s="1"/>
  <c r="L290" i="4"/>
  <c r="L291" i="4"/>
  <c r="K291" i="4" s="1"/>
  <c r="L292" i="4"/>
  <c r="K292" i="4" s="1"/>
  <c r="L293" i="4"/>
  <c r="K293" i="4" s="1"/>
  <c r="L294" i="4"/>
  <c r="L295" i="4"/>
  <c r="K295" i="4" s="1"/>
  <c r="L296" i="4"/>
  <c r="K296" i="4" s="1"/>
  <c r="L297" i="4"/>
  <c r="K297" i="4" s="1"/>
  <c r="L298" i="4"/>
  <c r="L299" i="4"/>
  <c r="K299" i="4" s="1"/>
  <c r="L300" i="4"/>
  <c r="K300" i="4" s="1"/>
  <c r="L301" i="4"/>
  <c r="K301" i="4" s="1"/>
  <c r="L302" i="4"/>
  <c r="L303" i="4"/>
  <c r="K303" i="4" s="1"/>
  <c r="L304" i="4"/>
  <c r="K304" i="4" s="1"/>
  <c r="L305" i="4"/>
  <c r="K305" i="4" s="1"/>
  <c r="L306" i="4"/>
  <c r="L307" i="4"/>
  <c r="K307" i="4" s="1"/>
  <c r="L308" i="4"/>
  <c r="K308" i="4" s="1"/>
  <c r="L309" i="4"/>
  <c r="K309" i="4" s="1"/>
  <c r="L310" i="4"/>
  <c r="L311" i="4"/>
  <c r="K311" i="4" s="1"/>
  <c r="L312" i="4"/>
  <c r="K312" i="4" s="1"/>
  <c r="L313" i="4"/>
  <c r="K313" i="4" s="1"/>
  <c r="L314" i="4"/>
  <c r="L315" i="4"/>
  <c r="K315" i="4" s="1"/>
  <c r="L316" i="4"/>
  <c r="K316" i="4" s="1"/>
  <c r="L317" i="4"/>
  <c r="K317" i="4" s="1"/>
  <c r="L318" i="4"/>
  <c r="L319" i="4"/>
  <c r="K319" i="4" s="1"/>
  <c r="L320" i="4"/>
  <c r="K320" i="4" s="1"/>
  <c r="L321" i="4"/>
  <c r="K321" i="4" s="1"/>
  <c r="L322" i="4"/>
  <c r="L323" i="4"/>
  <c r="K323" i="4" s="1"/>
  <c r="L324" i="4"/>
  <c r="K324" i="4" s="1"/>
  <c r="L325" i="4"/>
  <c r="K325" i="4" s="1"/>
  <c r="L326" i="4"/>
  <c r="L327" i="4"/>
  <c r="K327" i="4" s="1"/>
  <c r="L328" i="4"/>
  <c r="K328" i="4" s="1"/>
  <c r="L329" i="4"/>
  <c r="K329" i="4" s="1"/>
  <c r="L330" i="4"/>
  <c r="L331" i="4"/>
  <c r="K331" i="4" s="1"/>
  <c r="L332" i="4"/>
  <c r="K332" i="4" s="1"/>
  <c r="L333" i="4"/>
  <c r="K333" i="4" s="1"/>
  <c r="L334" i="4"/>
  <c r="L335" i="4"/>
  <c r="K335" i="4" s="1"/>
  <c r="L336" i="4"/>
  <c r="K336" i="4" s="1"/>
  <c r="L3" i="4"/>
  <c r="K3" i="4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2" i="2"/>
  <c r="K2" i="2" s="1"/>
  <c r="M2" i="2" s="1"/>
  <c r="K49" i="2"/>
  <c r="N49" i="2" s="1"/>
  <c r="K53" i="2"/>
  <c r="N53" i="2" s="1"/>
  <c r="K57" i="2"/>
  <c r="N57" i="2" s="1"/>
  <c r="K61" i="2"/>
  <c r="N61" i="2" s="1"/>
  <c r="K65" i="2"/>
  <c r="N65" i="2" s="1"/>
  <c r="K69" i="2"/>
  <c r="N69" i="2" s="1"/>
  <c r="K73" i="2"/>
  <c r="N73" i="2" s="1"/>
  <c r="K77" i="2"/>
  <c r="N77" i="2" s="1"/>
  <c r="K81" i="2"/>
  <c r="N81" i="2" s="1"/>
  <c r="K85" i="2"/>
  <c r="N85" i="2" s="1"/>
  <c r="K89" i="2"/>
  <c r="N89" i="2" s="1"/>
  <c r="K93" i="2"/>
  <c r="N93" i="2" s="1"/>
  <c r="K97" i="2"/>
  <c r="N97" i="2" s="1"/>
  <c r="K101" i="2"/>
  <c r="N101" i="2" s="1"/>
  <c r="K105" i="2"/>
  <c r="N105" i="2" s="1"/>
  <c r="K109" i="2"/>
  <c r="N109" i="2" s="1"/>
  <c r="K113" i="2"/>
  <c r="N113" i="2" s="1"/>
  <c r="K117" i="2"/>
  <c r="N117" i="2" s="1"/>
  <c r="K121" i="2"/>
  <c r="N121" i="2" s="1"/>
  <c r="K125" i="2"/>
  <c r="N125" i="2" s="1"/>
  <c r="K3" i="2"/>
  <c r="N3" i="2" s="1"/>
  <c r="K4" i="2"/>
  <c r="N4" i="2" s="1"/>
  <c r="K5" i="2"/>
  <c r="N5" i="2" s="1"/>
  <c r="K6" i="2"/>
  <c r="N6" i="2" s="1"/>
  <c r="K7" i="2"/>
  <c r="N7" i="2" s="1"/>
  <c r="K8" i="2"/>
  <c r="N8" i="2" s="1"/>
  <c r="K9" i="2"/>
  <c r="N9" i="2" s="1"/>
  <c r="K10" i="2"/>
  <c r="N10" i="2" s="1"/>
  <c r="K11" i="2"/>
  <c r="N11" i="2" s="1"/>
  <c r="K12" i="2"/>
  <c r="N12" i="2" s="1"/>
  <c r="K13" i="2"/>
  <c r="N13" i="2" s="1"/>
  <c r="K14" i="2"/>
  <c r="N14" i="2" s="1"/>
  <c r="K15" i="2"/>
  <c r="N15" i="2" s="1"/>
  <c r="K16" i="2"/>
  <c r="N16" i="2" s="1"/>
  <c r="K17" i="2"/>
  <c r="N17" i="2" s="1"/>
  <c r="K18" i="2"/>
  <c r="N18" i="2" s="1"/>
  <c r="K19" i="2"/>
  <c r="N19" i="2" s="1"/>
  <c r="K20" i="2"/>
  <c r="N20" i="2" s="1"/>
  <c r="K21" i="2"/>
  <c r="N21" i="2" s="1"/>
  <c r="K22" i="2"/>
  <c r="N22" i="2" s="1"/>
  <c r="K23" i="2"/>
  <c r="N23" i="2" s="1"/>
  <c r="K24" i="2"/>
  <c r="N24" i="2" s="1"/>
  <c r="K25" i="2"/>
  <c r="N25" i="2" s="1"/>
  <c r="K26" i="2"/>
  <c r="N26" i="2" s="1"/>
  <c r="K27" i="2"/>
  <c r="N27" i="2" s="1"/>
  <c r="K28" i="2"/>
  <c r="N28" i="2" s="1"/>
  <c r="K29" i="2"/>
  <c r="N29" i="2" s="1"/>
  <c r="K30" i="2"/>
  <c r="N30" i="2" s="1"/>
  <c r="K31" i="2"/>
  <c r="N31" i="2" s="1"/>
  <c r="K32" i="2"/>
  <c r="N32" i="2" s="1"/>
  <c r="K33" i="2"/>
  <c r="N33" i="2" s="1"/>
  <c r="K34" i="2"/>
  <c r="N34" i="2" s="1"/>
  <c r="K35" i="2"/>
  <c r="N35" i="2" s="1"/>
  <c r="K36" i="2"/>
  <c r="N36" i="2" s="1"/>
  <c r="K37" i="2"/>
  <c r="N37" i="2" s="1"/>
  <c r="K38" i="2"/>
  <c r="N38" i="2" s="1"/>
  <c r="K39" i="2"/>
  <c r="N39" i="2" s="1"/>
  <c r="K40" i="2"/>
  <c r="N40" i="2" s="1"/>
  <c r="K41" i="2"/>
  <c r="N41" i="2" s="1"/>
  <c r="K42" i="2"/>
  <c r="N42" i="2" s="1"/>
  <c r="K43" i="2"/>
  <c r="N43" i="2" s="1"/>
  <c r="K44" i="2"/>
  <c r="N44" i="2" s="1"/>
  <c r="K45" i="2"/>
  <c r="N45" i="2" s="1"/>
  <c r="K46" i="2"/>
  <c r="N46" i="2" s="1"/>
  <c r="K47" i="2"/>
  <c r="N47" i="2" s="1"/>
  <c r="K48" i="2"/>
  <c r="N48" i="2" s="1"/>
  <c r="K50" i="2"/>
  <c r="N50" i="2" s="1"/>
  <c r="K51" i="2"/>
  <c r="N51" i="2" s="1"/>
  <c r="K52" i="2"/>
  <c r="N52" i="2" s="1"/>
  <c r="K54" i="2"/>
  <c r="N54" i="2" s="1"/>
  <c r="K55" i="2"/>
  <c r="N55" i="2" s="1"/>
  <c r="K56" i="2"/>
  <c r="N56" i="2" s="1"/>
  <c r="K58" i="2"/>
  <c r="N58" i="2" s="1"/>
  <c r="K59" i="2"/>
  <c r="N59" i="2" s="1"/>
  <c r="K60" i="2"/>
  <c r="N60" i="2" s="1"/>
  <c r="K62" i="2"/>
  <c r="N62" i="2" s="1"/>
  <c r="K63" i="2"/>
  <c r="N63" i="2" s="1"/>
  <c r="K64" i="2"/>
  <c r="N64" i="2" s="1"/>
  <c r="K66" i="2"/>
  <c r="N66" i="2" s="1"/>
  <c r="K67" i="2"/>
  <c r="N67" i="2" s="1"/>
  <c r="K68" i="2"/>
  <c r="N68" i="2" s="1"/>
  <c r="K70" i="2"/>
  <c r="N70" i="2" s="1"/>
  <c r="K71" i="2"/>
  <c r="N71" i="2" s="1"/>
  <c r="K72" i="2"/>
  <c r="N72" i="2" s="1"/>
  <c r="K74" i="2"/>
  <c r="N74" i="2" s="1"/>
  <c r="K75" i="2"/>
  <c r="N75" i="2" s="1"/>
  <c r="K76" i="2"/>
  <c r="N76" i="2" s="1"/>
  <c r="K78" i="2"/>
  <c r="N78" i="2" s="1"/>
  <c r="K79" i="2"/>
  <c r="N79" i="2" s="1"/>
  <c r="K80" i="2"/>
  <c r="N80" i="2" s="1"/>
  <c r="K82" i="2"/>
  <c r="N82" i="2" s="1"/>
  <c r="K83" i="2"/>
  <c r="N83" i="2" s="1"/>
  <c r="K84" i="2"/>
  <c r="N84" i="2" s="1"/>
  <c r="K86" i="2"/>
  <c r="N86" i="2" s="1"/>
  <c r="K87" i="2"/>
  <c r="N87" i="2" s="1"/>
  <c r="K88" i="2"/>
  <c r="N88" i="2" s="1"/>
  <c r="K90" i="2"/>
  <c r="N90" i="2" s="1"/>
  <c r="K91" i="2"/>
  <c r="N91" i="2" s="1"/>
  <c r="K92" i="2"/>
  <c r="N92" i="2" s="1"/>
  <c r="K94" i="2"/>
  <c r="N94" i="2" s="1"/>
  <c r="K95" i="2"/>
  <c r="N95" i="2" s="1"/>
  <c r="K96" i="2"/>
  <c r="N96" i="2" s="1"/>
  <c r="K98" i="2"/>
  <c r="N98" i="2" s="1"/>
  <c r="K99" i="2"/>
  <c r="N99" i="2" s="1"/>
  <c r="K100" i="2"/>
  <c r="N100" i="2" s="1"/>
  <c r="K102" i="2"/>
  <c r="N102" i="2" s="1"/>
  <c r="K103" i="2"/>
  <c r="N103" i="2" s="1"/>
  <c r="K104" i="2"/>
  <c r="N104" i="2" s="1"/>
  <c r="K106" i="2"/>
  <c r="N106" i="2" s="1"/>
  <c r="K107" i="2"/>
  <c r="N107" i="2" s="1"/>
  <c r="K108" i="2"/>
  <c r="N108" i="2" s="1"/>
  <c r="K110" i="2"/>
  <c r="N110" i="2" s="1"/>
  <c r="K111" i="2"/>
  <c r="N111" i="2" s="1"/>
  <c r="K112" i="2"/>
  <c r="N112" i="2" s="1"/>
  <c r="K114" i="2"/>
  <c r="N114" i="2" s="1"/>
  <c r="K115" i="2"/>
  <c r="N115" i="2" s="1"/>
  <c r="K116" i="2"/>
  <c r="N116" i="2" s="1"/>
  <c r="K118" i="2"/>
  <c r="N118" i="2" s="1"/>
  <c r="K119" i="2"/>
  <c r="N119" i="2" s="1"/>
  <c r="K120" i="2"/>
  <c r="N120" i="2" s="1"/>
  <c r="K122" i="2"/>
  <c r="N122" i="2" s="1"/>
  <c r="K123" i="2"/>
  <c r="N123" i="2" s="1"/>
  <c r="K124" i="2"/>
  <c r="N124" i="2" s="1"/>
  <c r="K126" i="2"/>
  <c r="N126" i="2" s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2" i="5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2" i="1"/>
  <c r="F1" i="5"/>
  <c r="E1" i="5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2" i="1"/>
  <c r="K330" i="4" l="1"/>
  <c r="K322" i="4"/>
  <c r="K314" i="4"/>
  <c r="K306" i="4"/>
  <c r="K302" i="4"/>
  <c r="K298" i="4"/>
  <c r="K294" i="4"/>
  <c r="K290" i="4"/>
  <c r="K286" i="4"/>
  <c r="K282" i="4"/>
  <c r="K278" i="4"/>
  <c r="K274" i="4"/>
  <c r="K270" i="4"/>
  <c r="K266" i="4"/>
  <c r="K262" i="4"/>
  <c r="K258" i="4"/>
  <c r="K254" i="4"/>
  <c r="K250" i="4"/>
  <c r="K246" i="4"/>
  <c r="K242" i="4"/>
  <c r="K238" i="4"/>
  <c r="K234" i="4"/>
  <c r="K230" i="4"/>
  <c r="K226" i="4"/>
  <c r="K222" i="4"/>
  <c r="K218" i="4"/>
  <c r="K214" i="4"/>
  <c r="K210" i="4"/>
  <c r="K206" i="4"/>
  <c r="K202" i="4"/>
  <c r="K198" i="4"/>
  <c r="K194" i="4"/>
  <c r="K190" i="4"/>
  <c r="K186" i="4"/>
  <c r="K182" i="4"/>
  <c r="K178" i="4"/>
  <c r="K174" i="4"/>
  <c r="K170" i="4"/>
  <c r="K166" i="4"/>
  <c r="K162" i="4"/>
  <c r="K158" i="4"/>
  <c r="K154" i="4"/>
  <c r="K150" i="4"/>
  <c r="K146" i="4"/>
  <c r="K142" i="4"/>
  <c r="K138" i="4"/>
  <c r="K134" i="4"/>
  <c r="K130" i="4"/>
  <c r="K126" i="4"/>
  <c r="K122" i="4"/>
  <c r="K118" i="4"/>
  <c r="K114" i="4"/>
  <c r="K110" i="4"/>
  <c r="K106" i="4"/>
  <c r="K102" i="4"/>
  <c r="K98" i="4"/>
  <c r="K94" i="4"/>
  <c r="K90" i="4"/>
  <c r="K86" i="4"/>
  <c r="K82" i="4"/>
  <c r="K78" i="4"/>
  <c r="K74" i="4"/>
  <c r="K70" i="4"/>
  <c r="K66" i="4"/>
  <c r="K62" i="4"/>
  <c r="K58" i="4"/>
  <c r="K54" i="4"/>
  <c r="K50" i="4"/>
  <c r="K46" i="4"/>
  <c r="K42" i="4"/>
  <c r="K38" i="4"/>
  <c r="K34" i="4"/>
  <c r="K30" i="4"/>
  <c r="K26" i="4"/>
  <c r="K22" i="4"/>
  <c r="K18" i="4"/>
  <c r="K14" i="4"/>
  <c r="K10" i="4"/>
  <c r="K6" i="4"/>
  <c r="K334" i="4"/>
  <c r="K326" i="4"/>
  <c r="K318" i="4"/>
  <c r="K310" i="4"/>
  <c r="Q4" i="5"/>
  <c r="O4" i="5"/>
  <c r="K4" i="5"/>
  <c r="N4" i="5"/>
  <c r="J4" i="5"/>
  <c r="M4" i="5"/>
  <c r="R4" i="5"/>
  <c r="P4" i="5"/>
  <c r="L4" i="5"/>
  <c r="M3" i="2" l="1"/>
  <c r="M7" i="2"/>
  <c r="M11" i="2"/>
  <c r="M15" i="2"/>
  <c r="M19" i="2"/>
  <c r="M23" i="2"/>
  <c r="M27" i="2"/>
  <c r="M31" i="2"/>
  <c r="M35" i="2"/>
  <c r="M39" i="2"/>
  <c r="M43" i="2"/>
  <c r="M47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4" i="2"/>
  <c r="M8" i="2"/>
  <c r="M12" i="2"/>
  <c r="M16" i="2"/>
  <c r="M20" i="2"/>
  <c r="M24" i="2"/>
  <c r="M28" i="2"/>
  <c r="M32" i="2"/>
  <c r="M36" i="2"/>
  <c r="M40" i="2"/>
  <c r="M44" i="2"/>
  <c r="M48" i="2"/>
  <c r="M52" i="2"/>
  <c r="M56" i="2"/>
  <c r="M60" i="2"/>
  <c r="M64" i="2"/>
  <c r="M68" i="2"/>
  <c r="M72" i="2"/>
  <c r="M76" i="2"/>
  <c r="M80" i="2"/>
  <c r="M84" i="2"/>
  <c r="M88" i="2"/>
  <c r="M92" i="2"/>
  <c r="M96" i="2"/>
  <c r="M100" i="2"/>
  <c r="M104" i="2"/>
  <c r="M108" i="2"/>
  <c r="M112" i="2"/>
  <c r="M116" i="2"/>
  <c r="M120" i="2"/>
  <c r="M124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105" i="2"/>
  <c r="M109" i="2"/>
  <c r="M113" i="2"/>
  <c r="M117" i="2"/>
  <c r="M121" i="2"/>
  <c r="M125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N2" i="2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2" i="1"/>
  <c r="I2" i="2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AG4" i="1" l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AF4" i="1"/>
  <c r="AE4" i="1"/>
  <c r="R3" i="2"/>
  <c r="R4" i="2" s="1"/>
  <c r="C3" i="3"/>
  <c r="C4" i="3"/>
  <c r="C5" i="3"/>
  <c r="C6" i="3"/>
  <c r="C7" i="3"/>
  <c r="C8" i="3"/>
  <c r="C9" i="3"/>
  <c r="C10" i="3"/>
  <c r="C11" i="3"/>
  <c r="C2" i="3"/>
  <c r="B12" i="3"/>
</calcChain>
</file>

<file path=xl/sharedStrings.xml><?xml version="1.0" encoding="utf-8"?>
<sst xmlns="http://schemas.openxmlformats.org/spreadsheetml/2006/main" count="1088" uniqueCount="649">
  <si>
    <t>Jockey</t>
  </si>
  <si>
    <t>Antoine-Laurent Lavoisier</t>
  </si>
  <si>
    <t>Svante Arrhenius</t>
  </si>
  <si>
    <t>Ernest Rutherford</t>
  </si>
  <si>
    <t>Akaria Bháskara</t>
  </si>
  <si>
    <t>René Descartes</t>
  </si>
  <si>
    <t>Simon Stevin</t>
  </si>
  <si>
    <t>Diofanto de Alexandria</t>
  </si>
  <si>
    <t>Isaac Newton</t>
  </si>
  <si>
    <t>Brahmagupta de Rajastão</t>
  </si>
  <si>
    <t>Índia</t>
  </si>
  <si>
    <t>França</t>
  </si>
  <si>
    <t>Dinamarca</t>
  </si>
  <si>
    <t>Joseph J. Thompson</t>
  </si>
  <si>
    <t>Britânia</t>
  </si>
  <si>
    <t>Werner K. Heisenberg</t>
  </si>
  <si>
    <t>Alemanha</t>
  </si>
  <si>
    <t>Jairton Dupont</t>
  </si>
  <si>
    <t>Brasil</t>
  </si>
  <si>
    <t>Heinrich Rheinboldt</t>
  </si>
  <si>
    <t>Thiago Sequinel</t>
  </si>
  <si>
    <t>Fritz Feigl</t>
  </si>
  <si>
    <t>Hans Stammreich</t>
  </si>
  <si>
    <t>José Moura Gonçalves</t>
  </si>
  <si>
    <t>Erwin Schrödinger</t>
  </si>
  <si>
    <t>Áustria</t>
  </si>
  <si>
    <t>James Chadwick</t>
  </si>
  <si>
    <t>Max Planck</t>
  </si>
  <si>
    <t>John Dalton</t>
  </si>
  <si>
    <t>Albert Einstein</t>
  </si>
  <si>
    <t>Aage N. Bohr</t>
  </si>
  <si>
    <t>Wolfgang Pauli</t>
  </si>
  <si>
    <t>Richard Feynman</t>
  </si>
  <si>
    <t>Estados Unidos</t>
  </si>
  <si>
    <t>Paul Dirac</t>
  </si>
  <si>
    <t>Louis-VP-Raymond de Broglie</t>
  </si>
  <si>
    <t>Arnold Sommerfeld</t>
  </si>
  <si>
    <t>Demócrito de Abdera</t>
  </si>
  <si>
    <t>Grécia</t>
  </si>
  <si>
    <t>James C. Maxwell</t>
  </si>
  <si>
    <t>Escócia</t>
  </si>
  <si>
    <t>Henry Moseley</t>
  </si>
  <si>
    <t>Michael Faraday</t>
  </si>
  <si>
    <t>Hans Christian Ørsted</t>
  </si>
  <si>
    <t>André-Marie Ampère</t>
  </si>
  <si>
    <t>Alessandro G. A. A. Volta</t>
  </si>
  <si>
    <t>Itália</t>
  </si>
  <si>
    <t>Ariabatta de Patná</t>
  </si>
  <si>
    <t>Šrīnivāsa Rāmānudžans</t>
  </si>
  <si>
    <t>Mādhava de Sangamagrama</t>
  </si>
  <si>
    <t>Humphry Davy</t>
  </si>
  <si>
    <t>Nikola Tesla</t>
  </si>
  <si>
    <t>Sérvia</t>
  </si>
  <si>
    <t>Heinrich Hertz</t>
  </si>
  <si>
    <t>Thomas Edison</t>
  </si>
  <si>
    <t>Georg-Simon Ohm</t>
  </si>
  <si>
    <t>Pierre Curie</t>
  </si>
  <si>
    <t>Ostwald Fenske</t>
  </si>
  <si>
    <t>Day Underwood</t>
  </si>
  <si>
    <t>Edwin Richard Gilliland</t>
  </si>
  <si>
    <t>CG Kirkbride</t>
  </si>
  <si>
    <t>Galileu Galilei</t>
  </si>
  <si>
    <t>Arquimedes de Siracusa</t>
  </si>
  <si>
    <t>Pitágoras de Samos</t>
  </si>
  <si>
    <t>James Prescott Joule</t>
  </si>
  <si>
    <t>Charles Robert Darwin</t>
  </si>
  <si>
    <t>Thomas Davenport</t>
  </si>
  <si>
    <t>William Sturgeon</t>
  </si>
  <si>
    <t>Heinrich Lenz</t>
  </si>
  <si>
    <t>Julius von Mayer</t>
  </si>
  <si>
    <t>Nicolas-Léonard S. Carnot</t>
  </si>
  <si>
    <t>Rudolf Clausius</t>
  </si>
  <si>
    <t>B'Paul-Émile Clapeyron</t>
  </si>
  <si>
    <t>Siméon D. Poisson</t>
  </si>
  <si>
    <t>François Arago</t>
  </si>
  <si>
    <t>James Watt</t>
  </si>
  <si>
    <t>JB Joseph Fourier</t>
  </si>
  <si>
    <t>Henri Victor Regnault</t>
  </si>
  <si>
    <t>Antoine César Becquerel</t>
  </si>
  <si>
    <t>Tales de Mileto</t>
  </si>
  <si>
    <t>Aristóteles de Estagira</t>
  </si>
  <si>
    <t>Platão de Atenas</t>
  </si>
  <si>
    <t>Sócrates de Alópece</t>
  </si>
  <si>
    <t>Immanuel Kant</t>
  </si>
  <si>
    <t>Rússia</t>
  </si>
  <si>
    <t>Pierre-Simon Laplace</t>
  </si>
  <si>
    <t>Leonhard Euler</t>
  </si>
  <si>
    <t>Russia</t>
  </si>
  <si>
    <t>JC Friedrich Gauss</t>
  </si>
  <si>
    <t>Joseph L. Lagrange</t>
  </si>
  <si>
    <t>Augustin-Louis Cauchy</t>
  </si>
  <si>
    <t>Hipócrates de Cós</t>
  </si>
  <si>
    <t>Heráclito de Éfeso</t>
  </si>
  <si>
    <t>Gottfried W. Leibniz</t>
  </si>
  <si>
    <t>Blaise Pascal</t>
  </si>
  <si>
    <t>Euclides de Alexandria</t>
  </si>
  <si>
    <t>Jakob Bernoulli</t>
  </si>
  <si>
    <t>Suíça</t>
  </si>
  <si>
    <t>Adrien-Marie Legendre</t>
  </si>
  <si>
    <t>Thomas Bayes</t>
  </si>
  <si>
    <t>Jules Henri Poincaré</t>
  </si>
  <si>
    <t>Karl W. T. Weierstraß</t>
  </si>
  <si>
    <t>François-Marie Raoult</t>
  </si>
  <si>
    <t>Louis Joseph Gay-Lussac</t>
  </si>
  <si>
    <t>Robert Boyle</t>
  </si>
  <si>
    <t>L.R.A.C Avogadro</t>
  </si>
  <si>
    <t>Josiah Willard Gibbs</t>
  </si>
  <si>
    <t>Gustav R. Kirchhoff</t>
  </si>
  <si>
    <t>Albert A. Michelson</t>
  </si>
  <si>
    <t>Suécia</t>
  </si>
  <si>
    <t>Johannes Nicolaus Brønsted</t>
  </si>
  <si>
    <t>Thomas Martin Lowry</t>
  </si>
  <si>
    <t>Henry Edward Armstrong</t>
  </si>
  <si>
    <t>AW Hermann Kolbe</t>
  </si>
  <si>
    <t>RW Eberhard von Bunsen</t>
  </si>
  <si>
    <t>August W. von Hofmann</t>
  </si>
  <si>
    <t>Vladimir V. Markovnikov</t>
  </si>
  <si>
    <t>Alexander M. Zaitsev</t>
  </si>
  <si>
    <t>Alexander M. Butlerov</t>
  </si>
  <si>
    <t>Nikolai M. Kischner</t>
  </si>
  <si>
    <t>Knut Emil Lundmark</t>
  </si>
  <si>
    <t>Louis Pasteur</t>
  </si>
  <si>
    <t>Aleksandr Ivanovich Oparin</t>
  </si>
  <si>
    <t>John Tyndall</t>
  </si>
  <si>
    <t>Linus C. Pauling</t>
  </si>
  <si>
    <t>Ernst Mach</t>
  </si>
  <si>
    <t>Ludwig E. Boltzmann</t>
  </si>
  <si>
    <t>Zenão de Cítio</t>
  </si>
  <si>
    <t>Leucipo de Abdera</t>
  </si>
  <si>
    <t>Holanda</t>
  </si>
  <si>
    <t>Nação</t>
  </si>
  <si>
    <t>Cavalo</t>
  </si>
  <si>
    <t>Phosphor</t>
  </si>
  <si>
    <t>Sulph</t>
  </si>
  <si>
    <t>Cuprum</t>
  </si>
  <si>
    <t>Strontium</t>
  </si>
  <si>
    <t>Molybdenum</t>
  </si>
  <si>
    <t>Tecnécio</t>
  </si>
  <si>
    <t>Plátinum</t>
  </si>
  <si>
    <t>Aurum</t>
  </si>
  <si>
    <t>Plumbium</t>
  </si>
  <si>
    <t>Astato</t>
  </si>
  <si>
    <t>Urano</t>
  </si>
  <si>
    <t>Netuno</t>
  </si>
  <si>
    <t>Plutão</t>
  </si>
  <si>
    <t>Cúrio</t>
  </si>
  <si>
    <t>Férmio</t>
  </si>
  <si>
    <t>Bóhrio</t>
  </si>
  <si>
    <t>Hássio</t>
  </si>
  <si>
    <t>Meitnério</t>
  </si>
  <si>
    <t>Darmstádtio</t>
  </si>
  <si>
    <t>Niônio</t>
  </si>
  <si>
    <t>Fleróvio</t>
  </si>
  <si>
    <t>Livermório</t>
  </si>
  <si>
    <t>Pi</t>
  </si>
  <si>
    <t>Phi</t>
  </si>
  <si>
    <t>Euler</t>
  </si>
  <si>
    <t>Nepher</t>
  </si>
  <si>
    <t>Oxyde</t>
  </si>
  <si>
    <t>EUA</t>
  </si>
  <si>
    <t>China</t>
  </si>
  <si>
    <t>México</t>
  </si>
  <si>
    <t>Argentina</t>
  </si>
  <si>
    <t>Mongólia</t>
  </si>
  <si>
    <t>Etiópia</t>
  </si>
  <si>
    <t>Cazaquistão</t>
  </si>
  <si>
    <t>Sudão</t>
  </si>
  <si>
    <t>Mercados:</t>
  </si>
  <si>
    <t>Quantidade inicial [em mi]:</t>
  </si>
  <si>
    <t>MONTANTE:</t>
  </si>
  <si>
    <t>%</t>
  </si>
  <si>
    <t>01/0001</t>
  </si>
  <si>
    <t>02/0001</t>
  </si>
  <si>
    <t>03/0001</t>
  </si>
  <si>
    <t>04/0001</t>
  </si>
  <si>
    <t>05/0001</t>
  </si>
  <si>
    <t>06/0001</t>
  </si>
  <si>
    <t>07/0001</t>
  </si>
  <si>
    <t>08/0001</t>
  </si>
  <si>
    <t>09/0001</t>
  </si>
  <si>
    <t>10/0001</t>
  </si>
  <si>
    <t>11/0001</t>
  </si>
  <si>
    <t>12/0001</t>
  </si>
  <si>
    <t>01/0002</t>
  </si>
  <si>
    <t>02/0002</t>
  </si>
  <si>
    <t>03/0002</t>
  </si>
  <si>
    <t>04/0002</t>
  </si>
  <si>
    <t>05/0002</t>
  </si>
  <si>
    <t>06/0002</t>
  </si>
  <si>
    <t>07/0002</t>
  </si>
  <si>
    <t>08/0002</t>
  </si>
  <si>
    <t>09/0002</t>
  </si>
  <si>
    <t>10/0002</t>
  </si>
  <si>
    <t>11/0002</t>
  </si>
  <si>
    <t>12/0002</t>
  </si>
  <si>
    <t>01/0003</t>
  </si>
  <si>
    <t>02/0003</t>
  </si>
  <si>
    <t>03/0003</t>
  </si>
  <si>
    <t>04/0003</t>
  </si>
  <si>
    <t>05/0003</t>
  </si>
  <si>
    <t>06/0003</t>
  </si>
  <si>
    <t>07/0003</t>
  </si>
  <si>
    <t>08/0003</t>
  </si>
  <si>
    <t>09/0003</t>
  </si>
  <si>
    <t>10/0003</t>
  </si>
  <si>
    <t>11/0003</t>
  </si>
  <si>
    <t>12/0003</t>
  </si>
  <si>
    <t>01/0004</t>
  </si>
  <si>
    <t>02/0004</t>
  </si>
  <si>
    <t>03/0004</t>
  </si>
  <si>
    <t>04/0004</t>
  </si>
  <si>
    <t>05/0004</t>
  </si>
  <si>
    <t>06/0004</t>
  </si>
  <si>
    <t>07/0004</t>
  </si>
  <si>
    <t>08/0004</t>
  </si>
  <si>
    <t>09/0004</t>
  </si>
  <si>
    <t>10/0004</t>
  </si>
  <si>
    <t>11/0004</t>
  </si>
  <si>
    <t>12/0004</t>
  </si>
  <si>
    <t>01/0005</t>
  </si>
  <si>
    <t>02/0005</t>
  </si>
  <si>
    <t>03/0005</t>
  </si>
  <si>
    <t>04/0005</t>
  </si>
  <si>
    <t>05/0005</t>
  </si>
  <si>
    <t>06/0005</t>
  </si>
  <si>
    <t>07/0005</t>
  </si>
  <si>
    <t>08/0005</t>
  </si>
  <si>
    <t>09/0005</t>
  </si>
  <si>
    <t>10/0005</t>
  </si>
  <si>
    <t>11/0005</t>
  </si>
  <si>
    <t>12/0005</t>
  </si>
  <si>
    <t>01/0006</t>
  </si>
  <si>
    <t>02/0006</t>
  </si>
  <si>
    <t>03/0006</t>
  </si>
  <si>
    <t>04/0006</t>
  </si>
  <si>
    <t>05/0006</t>
  </si>
  <si>
    <t>06/0006</t>
  </si>
  <si>
    <t>07/0006</t>
  </si>
  <si>
    <t>08/0006</t>
  </si>
  <si>
    <t>09/0006</t>
  </si>
  <si>
    <t>10/0006</t>
  </si>
  <si>
    <t>11/0006</t>
  </si>
  <si>
    <t>12/0006</t>
  </si>
  <si>
    <t>01/0007</t>
  </si>
  <si>
    <t>02/0007</t>
  </si>
  <si>
    <t>03/0007</t>
  </si>
  <si>
    <t>04/0007</t>
  </si>
  <si>
    <t>05/0007</t>
  </si>
  <si>
    <t>06/0007</t>
  </si>
  <si>
    <t>07/0007</t>
  </si>
  <si>
    <t>08/0007</t>
  </si>
  <si>
    <t>09/0007</t>
  </si>
  <si>
    <t>10/0007</t>
  </si>
  <si>
    <t>11/0007</t>
  </si>
  <si>
    <t>12/0007</t>
  </si>
  <si>
    <t>01/0008</t>
  </si>
  <si>
    <t>02/0008</t>
  </si>
  <si>
    <t>03/0008</t>
  </si>
  <si>
    <t>04/0008</t>
  </si>
  <si>
    <t>05/0008</t>
  </si>
  <si>
    <t>06/0008</t>
  </si>
  <si>
    <t>07/0008</t>
  </si>
  <si>
    <t>08/0008</t>
  </si>
  <si>
    <t>09/0008</t>
  </si>
  <si>
    <t>10/0008</t>
  </si>
  <si>
    <t>11/0008</t>
  </si>
  <si>
    <t>12/0008</t>
  </si>
  <si>
    <t>01/0009</t>
  </si>
  <si>
    <t>02/0009</t>
  </si>
  <si>
    <t>03/0009</t>
  </si>
  <si>
    <t>04/0009</t>
  </si>
  <si>
    <t>05/0009</t>
  </si>
  <si>
    <t>06/0009</t>
  </si>
  <si>
    <t>07/0009</t>
  </si>
  <si>
    <t>08/0009</t>
  </si>
  <si>
    <t>09/0009</t>
  </si>
  <si>
    <t>10/0009</t>
  </si>
  <si>
    <t>11/0009</t>
  </si>
  <si>
    <t>12/0009</t>
  </si>
  <si>
    <t>01/0010</t>
  </si>
  <si>
    <t>02/0010</t>
  </si>
  <si>
    <t>03/0010</t>
  </si>
  <si>
    <t>04/0010</t>
  </si>
  <si>
    <t>05/0010</t>
  </si>
  <si>
    <t>06/0010</t>
  </si>
  <si>
    <t>07/0010</t>
  </si>
  <si>
    <t>08/0010</t>
  </si>
  <si>
    <t>09/0010</t>
  </si>
  <si>
    <t>10/0010</t>
  </si>
  <si>
    <t>11/0010</t>
  </si>
  <si>
    <t>12/0010</t>
  </si>
  <si>
    <t>01/0011</t>
  </si>
  <si>
    <t>02/0011</t>
  </si>
  <si>
    <t>03/0011</t>
  </si>
  <si>
    <t>04/0011</t>
  </si>
  <si>
    <t>05/0011</t>
  </si>
  <si>
    <t>06/0011</t>
  </si>
  <si>
    <t>07/0011</t>
  </si>
  <si>
    <t>08/0011</t>
  </si>
  <si>
    <t>09/0011</t>
  </si>
  <si>
    <t>10/0011</t>
  </si>
  <si>
    <t>11/0011</t>
  </si>
  <si>
    <t>12/0011</t>
  </si>
  <si>
    <t>01/0012</t>
  </si>
  <si>
    <t>02/0012</t>
  </si>
  <si>
    <t>03/0012</t>
  </si>
  <si>
    <t>04/0012</t>
  </si>
  <si>
    <t>05/0012</t>
  </si>
  <si>
    <t>06/0012</t>
  </si>
  <si>
    <t>07/0012</t>
  </si>
  <si>
    <t>08/0012</t>
  </si>
  <si>
    <t>09/0012</t>
  </si>
  <si>
    <t>10/0012</t>
  </si>
  <si>
    <t>11/0012</t>
  </si>
  <si>
    <t>12/0012</t>
  </si>
  <si>
    <t>01/0013</t>
  </si>
  <si>
    <t>02/0013</t>
  </si>
  <si>
    <t>03/0013</t>
  </si>
  <si>
    <t>04/0013</t>
  </si>
  <si>
    <t>05/0013</t>
  </si>
  <si>
    <t>06/0013</t>
  </si>
  <si>
    <t>07/0013</t>
  </si>
  <si>
    <t>08/0013</t>
  </si>
  <si>
    <t>09/0013</t>
  </si>
  <si>
    <t>10/0013</t>
  </si>
  <si>
    <t>11/0013</t>
  </si>
  <si>
    <t>12/0013</t>
  </si>
  <si>
    <t>01/0014</t>
  </si>
  <si>
    <t>02/0014</t>
  </si>
  <si>
    <t>03/0014</t>
  </si>
  <si>
    <t>04/0014</t>
  </si>
  <si>
    <t>05/0014</t>
  </si>
  <si>
    <t>06/0014</t>
  </si>
  <si>
    <t>07/0014</t>
  </si>
  <si>
    <t>08/0014</t>
  </si>
  <si>
    <t>09/0014</t>
  </si>
  <si>
    <t>10/0014</t>
  </si>
  <si>
    <t>11/0014</t>
  </si>
  <si>
    <t>12/0014</t>
  </si>
  <si>
    <t>01/0015</t>
  </si>
  <si>
    <t>02/0015</t>
  </si>
  <si>
    <t>03/0015</t>
  </si>
  <si>
    <t>04/0015</t>
  </si>
  <si>
    <t>05/0015</t>
  </si>
  <si>
    <t>06/0015</t>
  </si>
  <si>
    <t>07/0015</t>
  </si>
  <si>
    <t>08/0015</t>
  </si>
  <si>
    <t>09/0015</t>
  </si>
  <si>
    <t>10/0015</t>
  </si>
  <si>
    <t>11/0015</t>
  </si>
  <si>
    <t>12/0015</t>
  </si>
  <si>
    <t>01/0016</t>
  </si>
  <si>
    <t>02/0016</t>
  </si>
  <si>
    <t>03/0016</t>
  </si>
  <si>
    <t>04/0016</t>
  </si>
  <si>
    <t>05/0016</t>
  </si>
  <si>
    <t>06/0016</t>
  </si>
  <si>
    <t>07/0016</t>
  </si>
  <si>
    <t>08/0016</t>
  </si>
  <si>
    <t>09/0016</t>
  </si>
  <si>
    <t>10/0016</t>
  </si>
  <si>
    <t>11/0016</t>
  </si>
  <si>
    <t>12/0016</t>
  </si>
  <si>
    <t>01/0017</t>
  </si>
  <si>
    <t>02/0017</t>
  </si>
  <si>
    <t>03/0017</t>
  </si>
  <si>
    <t>04/0017</t>
  </si>
  <si>
    <t>05/0017</t>
  </si>
  <si>
    <t>06/0017</t>
  </si>
  <si>
    <t>07/0017</t>
  </si>
  <si>
    <t>08/0017</t>
  </si>
  <si>
    <t>09/0017</t>
  </si>
  <si>
    <t>10/0017</t>
  </si>
  <si>
    <t>11/0017</t>
  </si>
  <si>
    <t>12/0017</t>
  </si>
  <si>
    <t>01/0018</t>
  </si>
  <si>
    <t>02/0018</t>
  </si>
  <si>
    <t>03/0018</t>
  </si>
  <si>
    <t>04/0018</t>
  </si>
  <si>
    <t>05/0018</t>
  </si>
  <si>
    <t>06/0018</t>
  </si>
  <si>
    <t>07/0018</t>
  </si>
  <si>
    <t>08/0018</t>
  </si>
  <si>
    <t>09/0018</t>
  </si>
  <si>
    <t>10/0018</t>
  </si>
  <si>
    <t>11/0018</t>
  </si>
  <si>
    <t>12/0018</t>
  </si>
  <si>
    <t>01/0019</t>
  </si>
  <si>
    <t>02/0019</t>
  </si>
  <si>
    <t>03/0019</t>
  </si>
  <si>
    <t>04/0019</t>
  </si>
  <si>
    <t>05/0019</t>
  </si>
  <si>
    <t>06/0019</t>
  </si>
  <si>
    <t>07/0019</t>
  </si>
  <si>
    <t>08/0019</t>
  </si>
  <si>
    <t>09/0019</t>
  </si>
  <si>
    <t>10/0019</t>
  </si>
  <si>
    <t>11/0019</t>
  </si>
  <si>
    <t>12/0019</t>
  </si>
  <si>
    <t>01/0020</t>
  </si>
  <si>
    <t>02/0020</t>
  </si>
  <si>
    <t>03/0020</t>
  </si>
  <si>
    <t>04/0020</t>
  </si>
  <si>
    <t>05/0020</t>
  </si>
  <si>
    <t>06/0020</t>
  </si>
  <si>
    <t>07/0020</t>
  </si>
  <si>
    <t>08/0020</t>
  </si>
  <si>
    <t>09/0020</t>
  </si>
  <si>
    <t>10/0020</t>
  </si>
  <si>
    <t>11/0020</t>
  </si>
  <si>
    <t>12/0020</t>
  </si>
  <si>
    <t>01/0021</t>
  </si>
  <si>
    <t>02/0021</t>
  </si>
  <si>
    <t>03/0021</t>
  </si>
  <si>
    <t>04/0021</t>
  </si>
  <si>
    <t>05/0021</t>
  </si>
  <si>
    <t>06/0021</t>
  </si>
  <si>
    <t>07/0021</t>
  </si>
  <si>
    <t>08/0021</t>
  </si>
  <si>
    <t>09/0021</t>
  </si>
  <si>
    <t>10/0021</t>
  </si>
  <si>
    <t>11/0021</t>
  </si>
  <si>
    <t>12/0021</t>
  </si>
  <si>
    <t>01/0022</t>
  </si>
  <si>
    <t>02/0022</t>
  </si>
  <si>
    <t>03/0022</t>
  </si>
  <si>
    <t>04/0022</t>
  </si>
  <si>
    <t>05/0022</t>
  </si>
  <si>
    <t>06/0022</t>
  </si>
  <si>
    <t>07/0022</t>
  </si>
  <si>
    <t>08/0022</t>
  </si>
  <si>
    <t>09/0022</t>
  </si>
  <si>
    <t>10/0022</t>
  </si>
  <si>
    <t>11/0022</t>
  </si>
  <si>
    <t>12/0022</t>
  </si>
  <si>
    <t>01/0023</t>
  </si>
  <si>
    <t>02/0023</t>
  </si>
  <si>
    <t>03/0023</t>
  </si>
  <si>
    <t>04/0023</t>
  </si>
  <si>
    <t>05/0023</t>
  </si>
  <si>
    <t>06/0023</t>
  </si>
  <si>
    <t>07/0023</t>
  </si>
  <si>
    <t>08/0023</t>
  </si>
  <si>
    <t>09/0023</t>
  </si>
  <si>
    <t>10/0023</t>
  </si>
  <si>
    <t>11/0023</t>
  </si>
  <si>
    <t>12/0023</t>
  </si>
  <si>
    <t>01/0024</t>
  </si>
  <si>
    <t>02/0024</t>
  </si>
  <si>
    <t>03/0024</t>
  </si>
  <si>
    <t>04/0024</t>
  </si>
  <si>
    <t>05/0024</t>
  </si>
  <si>
    <t>06/0024</t>
  </si>
  <si>
    <t>07/0024</t>
  </si>
  <si>
    <t>08/0024</t>
  </si>
  <si>
    <t>09/0024</t>
  </si>
  <si>
    <t>10/0024</t>
  </si>
  <si>
    <t>11/0024</t>
  </si>
  <si>
    <t>12/0024</t>
  </si>
  <si>
    <t>01/0025</t>
  </si>
  <si>
    <t>02/0025</t>
  </si>
  <si>
    <t>03/0025</t>
  </si>
  <si>
    <t>04/0025</t>
  </si>
  <si>
    <t>05/0025</t>
  </si>
  <si>
    <t>06/0025</t>
  </si>
  <si>
    <t>INPC+IPCA (com IPCA desde jul./09)</t>
  </si>
  <si>
    <t>IPCA-E</t>
  </si>
  <si>
    <t>Selic</t>
  </si>
  <si>
    <t>[%]</t>
  </si>
  <si>
    <t>Idade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</si>
  <si>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</si>
  <si>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</si>
  <si>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</si>
  <si>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</si>
  <si>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</si>
  <si>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</si>
  <si>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</si>
  <si>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</si>
  <si>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</si>
  <si>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</si>
  <si>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</si>
  <si>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</si>
  <si>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</si>
  <si>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</si>
  <si>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</si>
  <si>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</si>
  <si>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</si>
  <si>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</si>
  <si>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</si>
  <si>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</si>
  <si>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</si>
  <si>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</si>
  <si>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</si>
  <si>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</si>
  <si>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</si>
  <si>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</si>
  <si>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</si>
  <si>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</si>
  <si>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</si>
  <si>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</si>
  <si>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maior</t>
  </si>
  <si>
    <t>Nível</t>
  </si>
  <si>
    <t>PV</t>
  </si>
  <si>
    <t>Perdas</t>
  </si>
  <si>
    <t>Compl. Nome</t>
  </si>
  <si>
    <t>Dono</t>
  </si>
  <si>
    <t>Moral [%]</t>
  </si>
  <si>
    <t>Últimos resultados</t>
  </si>
  <si>
    <t>Status</t>
  </si>
  <si>
    <t>Valor [US$]</t>
  </si>
  <si>
    <t>Magnesi</t>
  </si>
  <si>
    <t>Argón</t>
  </si>
  <si>
    <t>Kallio</t>
  </si>
  <si>
    <t>Titanio</t>
  </si>
  <si>
    <t>Níquel</t>
  </si>
  <si>
    <t>Paladi</t>
  </si>
  <si>
    <t>Argento</t>
  </si>
  <si>
    <t>Stagno</t>
  </si>
  <si>
    <t>Tulío</t>
  </si>
  <si>
    <t>Lutecio</t>
  </si>
  <si>
    <t>Hidrargiro</t>
  </si>
  <si>
    <t>Radío</t>
  </si>
  <si>
    <t>Actíno</t>
  </si>
  <si>
    <t>Berkelio</t>
  </si>
  <si>
    <t>Mendelevi</t>
  </si>
  <si>
    <t>Copernito</t>
  </si>
  <si>
    <t>Natrío</t>
  </si>
  <si>
    <t>Lithium</t>
  </si>
  <si>
    <t>Beryllium</t>
  </si>
  <si>
    <t>Helium</t>
  </si>
  <si>
    <t>Vanadium</t>
  </si>
  <si>
    <t>Germanium</t>
  </si>
  <si>
    <t>Arsônicu</t>
  </si>
  <si>
    <t>Selênio Gomes</t>
  </si>
  <si>
    <t>Brumeta</t>
  </si>
  <si>
    <t>Criptón</t>
  </si>
  <si>
    <t>Rubidium</t>
  </si>
  <si>
    <t>Yttru</t>
  </si>
  <si>
    <t>Zirconium</t>
  </si>
  <si>
    <t>Niobo</t>
  </si>
  <si>
    <t>Rutén</t>
  </si>
  <si>
    <t>Rodium</t>
  </si>
  <si>
    <t>Estibinão</t>
  </si>
  <si>
    <t>Tellurium</t>
  </si>
  <si>
    <t>Barión</t>
  </si>
  <si>
    <t>Lantane</t>
  </si>
  <si>
    <t>Tsyerium</t>
  </si>
  <si>
    <t>Praseodymium</t>
  </si>
  <si>
    <t>Samary</t>
  </si>
  <si>
    <t>Gadolin Colorado</t>
  </si>
  <si>
    <t>Terby</t>
  </si>
  <si>
    <t>Holm</t>
  </si>
  <si>
    <t>Erbeen</t>
  </si>
  <si>
    <t>Yterbí</t>
  </si>
  <si>
    <t>Tantalus</t>
  </si>
  <si>
    <t>Rênio de Deus</t>
  </si>
  <si>
    <t>Bismuto de Jaú</t>
  </si>
  <si>
    <t>Radhon</t>
  </si>
  <si>
    <t>Thorio</t>
  </si>
  <si>
    <t>Amerício Vespúcio</t>
  </si>
  <si>
    <t>Einsteen</t>
  </si>
  <si>
    <t>Nobelium</t>
  </si>
  <si>
    <t>Lauren</t>
  </si>
  <si>
    <t>Oganesoon</t>
  </si>
  <si>
    <t>Hidra</t>
  </si>
  <si>
    <t>Alpha</t>
  </si>
  <si>
    <t>Lâmbida</t>
  </si>
  <si>
    <t>Sigma do Oriente</t>
  </si>
  <si>
    <t>Índio do Cerrado</t>
  </si>
  <si>
    <t>Osmi</t>
  </si>
  <si>
    <t>Byeta</t>
  </si>
  <si>
    <t>Gammón Arias</t>
  </si>
  <si>
    <t>Omïkron</t>
  </si>
  <si>
    <t>Rwterford</t>
  </si>
  <si>
    <t>протактиний</t>
  </si>
  <si>
    <t>сиборгиум</t>
  </si>
  <si>
    <t>углерод</t>
  </si>
  <si>
    <t>ስካንዲየም</t>
  </si>
  <si>
    <t>ሲሲየም</t>
  </si>
  <si>
    <t>ቱንግስተን</t>
  </si>
  <si>
    <t>ታሊየም</t>
  </si>
  <si>
    <t>ፍራንቸስኮ</t>
  </si>
  <si>
    <t>Deuterium</t>
  </si>
  <si>
    <t>ትሪቲየም</t>
  </si>
  <si>
    <t>ዴልታ</t>
  </si>
  <si>
    <t>Ω</t>
  </si>
  <si>
    <t>ቲት</t>
  </si>
  <si>
    <t>Bō luó 波罗</t>
  </si>
  <si>
    <t>Fú 氟</t>
  </si>
  <si>
    <t>Nǚ 钕</t>
  </si>
  <si>
    <t>Pǒ 钷</t>
  </si>
  <si>
    <t>Yǒu 铕銪</t>
  </si>
  <si>
    <t>Dí 鏑</t>
  </si>
  <si>
    <t>Jiā 鉿</t>
  </si>
  <si>
    <t>Yī 銥</t>
  </si>
  <si>
    <t>Pò 釙</t>
  </si>
  <si>
    <t>Lúnqín 倫琴</t>
  </si>
  <si>
    <t>Xiāo jī 硝基</t>
  </si>
  <si>
    <t>Lì 鎘</t>
  </si>
  <si>
    <t>Niwn نيون</t>
  </si>
  <si>
    <t>Alghalyawm الغاليوم</t>
  </si>
  <si>
    <t>Alkadmiwm الكادميوم</t>
  </si>
  <si>
    <t>Zaynun زينون</t>
  </si>
  <si>
    <t>Dubinyum دوبنيوم</t>
  </si>
  <si>
    <t>Maskufi مسكوفي</t>
  </si>
  <si>
    <t>Tinyisu تينييسو</t>
  </si>
  <si>
    <t>Q. bin Hamid حامض</t>
  </si>
  <si>
    <t>No.</t>
  </si>
  <si>
    <t>Californiano</t>
  </si>
  <si>
    <t>Tabela IGP-DI (Interno)</t>
  </si>
  <si>
    <t>Tabela INCC (Construção)</t>
  </si>
  <si>
    <t>TABELA IPC (Carro)</t>
  </si>
  <si>
    <t>US$ [Custo de importação]</t>
  </si>
  <si>
    <t>TABELA IGP-M (Aluguel)</t>
  </si>
  <si>
    <t>INPC (Mercado)</t>
  </si>
  <si>
    <t>Repetição:</t>
  </si>
  <si>
    <t>N°</t>
  </si>
  <si>
    <t>Inícios:</t>
  </si>
  <si>
    <t>FOR</t>
  </si>
  <si>
    <t>TAM</t>
  </si>
  <si>
    <t>CON</t>
  </si>
  <si>
    <t>INT</t>
  </si>
  <si>
    <t>DES</t>
  </si>
  <si>
    <t>Mês</t>
  </si>
  <si>
    <t>UNID. ANO</t>
  </si>
  <si>
    <t>DEZ. ANO</t>
  </si>
  <si>
    <t>Dig</t>
  </si>
  <si>
    <t>Procv</t>
  </si>
  <si>
    <t>Q</t>
  </si>
  <si>
    <t>W</t>
  </si>
  <si>
    <t>S</t>
  </si>
  <si>
    <t>D</t>
  </si>
  <si>
    <t>Z</t>
  </si>
  <si>
    <t>X</t>
  </si>
  <si>
    <t>R</t>
  </si>
  <si>
    <t>F</t>
  </si>
  <si>
    <t>Data(WEEK):</t>
  </si>
  <si>
    <t>Data(mês):</t>
  </si>
  <si>
    <t>TAXA SELIC    (%)</t>
  </si>
  <si>
    <t>Impostos [US$]</t>
  </si>
  <si>
    <t>Bruto [US$]</t>
  </si>
  <si>
    <r>
      <t>Líq</t>
    </r>
    <r>
      <rPr>
        <b/>
        <vertAlign val="subscript"/>
        <sz val="14"/>
        <color theme="1"/>
        <rFont val="Calibri"/>
        <family val="2"/>
        <scheme val="minor"/>
      </rPr>
      <t>(3%mercado)</t>
    </r>
    <r>
      <rPr>
        <b/>
        <vertAlign val="superscript"/>
        <sz val="14"/>
        <color theme="1"/>
        <rFont val="Calibri"/>
        <family val="2"/>
        <scheme val="minor"/>
      </rPr>
      <t xml:space="preserve"> (0,1%transp)</t>
    </r>
    <r>
      <rPr>
        <b/>
        <vertAlign val="subscript"/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[US$]</t>
    </r>
  </si>
  <si>
    <t>Cavalo:</t>
  </si>
  <si>
    <t>Jockey:</t>
  </si>
  <si>
    <t>Influencia(%):</t>
  </si>
  <si>
    <t>Data(ano):</t>
  </si>
  <si>
    <t>Y</t>
  </si>
  <si>
    <t>K</t>
  </si>
  <si>
    <t>Liq [US$]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</si>
</sst>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0.0000"/>
    <numFmt numFmtId="165" formatCode="0.000000"/>
    <numFmt numFmtId="166" formatCode="0.000000000000"/>
    <numFmt numFmtId="167" formatCode="0.0000000000000"/>
    <numFmt numFmtId="168" formatCode="#,##0.000000"/>
    <numFmt numFmtId="169" formatCode="_([$€]* #,##0.00_);_([$€]* \(#,##0.00\);_([$€]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color indexed="18"/>
      <name val="Times New Roman"/>
      <family val="1"/>
    </font>
    <font>
      <sz val="10"/>
      <color rgb="FF000000"/>
      <name val="Times New Roman"/>
      <family val="1"/>
    </font>
    <font>
      <sz val="11"/>
      <color theme="6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vertAlign val="superscript"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2" fillId="0" borderId="0"/>
    <xf numFmtId="169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7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7" fontId="0" fillId="0" borderId="0" xfId="0" applyNumberFormat="1"/>
    <xf numFmtId="168" fontId="5" fillId="0" borderId="0" xfId="1" applyNumberFormat="1" applyFont="1" applyAlignment="1" applyProtection="1">
      <alignment horizontal="right"/>
      <protection locked="0"/>
    </xf>
    <xf numFmtId="168" fontId="4" fillId="0" borderId="0" xfId="1" quotePrefix="1" applyNumberFormat="1" applyFont="1" applyAlignment="1">
      <alignment horizontal="right"/>
    </xf>
    <xf numFmtId="168" fontId="4" fillId="0" borderId="0" xfId="1" applyNumberFormat="1" applyFont="1" applyAlignment="1">
      <alignment horizontal="right"/>
    </xf>
    <xf numFmtId="168" fontId="5" fillId="0" borderId="0" xfId="1" quotePrefix="1" applyNumberFormat="1" applyFont="1" applyAlignment="1">
      <alignment horizontal="right"/>
    </xf>
    <xf numFmtId="168" fontId="5" fillId="0" borderId="0" xfId="1" applyNumberFormat="1" applyFont="1"/>
    <xf numFmtId="168" fontId="5" fillId="0" borderId="0" xfId="1" applyNumberFormat="1" applyFont="1" applyAlignment="1">
      <alignment horizontal="right"/>
    </xf>
    <xf numFmtId="168" fontId="5" fillId="0" borderId="0" xfId="5" applyNumberFormat="1" applyFont="1" applyAlignment="1">
      <alignment horizontal="right"/>
    </xf>
    <xf numFmtId="168" fontId="5" fillId="0" borderId="0" xfId="1" applyNumberFormat="1" applyFont="1" applyAlignment="1" applyProtection="1">
      <alignment horizontal="right"/>
    </xf>
    <xf numFmtId="2" fontId="6" fillId="0" borderId="2" xfId="4" applyNumberFormat="1" applyFont="1" applyBorder="1" applyAlignment="1" applyProtection="1">
      <alignment horizontal="right"/>
    </xf>
    <xf numFmtId="2" fontId="6" fillId="0" borderId="2" xfId="4" applyNumberFormat="1" applyFont="1" applyBorder="1" applyAlignment="1" applyProtection="1">
      <alignment horizontal="right"/>
      <protection locked="0"/>
    </xf>
    <xf numFmtId="168" fontId="5" fillId="0" borderId="0" xfId="1" applyNumberFormat="1" applyFont="1" applyFill="1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2" fontId="6" fillId="0" borderId="2" xfId="4" applyNumberFormat="1" applyFont="1" applyBorder="1" applyAlignment="1">
      <alignment horizontal="right"/>
    </xf>
    <xf numFmtId="10" fontId="0" fillId="0" borderId="0" xfId="0" applyNumberFormat="1"/>
    <xf numFmtId="0" fontId="8" fillId="0" borderId="0" xfId="0" applyFont="1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1" fontId="0" fillId="0" borderId="0" xfId="0" applyNumberFormat="1" applyAlignment="1">
      <alignment horizontal="center"/>
    </xf>
    <xf numFmtId="0" fontId="0" fillId="0" borderId="4" xfId="0" applyBorder="1"/>
    <xf numFmtId="0" fontId="12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0" borderId="7" xfId="0" applyBorder="1" applyAlignment="1">
      <alignment horizontal="center"/>
    </xf>
  </cellXfs>
  <cellStyles count="13">
    <cellStyle name="Euro" xfId="2"/>
    <cellStyle name="Hyperlink" xfId="3"/>
    <cellStyle name="Normal" xfId="0" builtinId="0"/>
    <cellStyle name="Normal 2" xfId="4"/>
    <cellStyle name="Normal 2 2" xfId="5"/>
    <cellStyle name="Normal 3" xfId="6"/>
    <cellStyle name="Normal 4" xfId="7"/>
    <cellStyle name="Normal 4 2" xfId="11"/>
    <cellStyle name="Normal 5" xfId="1"/>
    <cellStyle name="Porcentagem 2" xfId="10"/>
    <cellStyle name="Vírgula 2" xfId="9"/>
    <cellStyle name="Vírgula 2 2" xfId="12"/>
    <cellStyle name="Vírgula 3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C113"/>
  <sheetViews>
    <sheetView topLeftCell="I1" workbookViewId="0">
      <selection activeCell="W9" sqref="W9"/>
    </sheetView>
  </sheetViews>
  <sheetFormatPr defaultRowHeight="15" x14ac:dyDescent="0.25"/>
  <cols>
    <col min="1" max="1" width="32.5703125" customWidth="1"/>
    <col min="2" max="2" width="14.42578125" bestFit="1" customWidth="1"/>
    <col min="3" max="3" width="12.28515625" customWidth="1"/>
    <col min="4" max="6" width="9.140625" style="34"/>
    <col min="8" max="8" width="30.85546875" customWidth="1"/>
    <col min="9" max="9" width="15.28515625" customWidth="1"/>
    <col min="10" max="10" width="11.140625" customWidth="1"/>
    <col min="11" max="11" width="15.42578125" customWidth="1"/>
    <col min="18" max="18" width="10.42578125" customWidth="1"/>
    <col min="19" max="19" width="19.42578125" customWidth="1"/>
    <col min="20" max="20" width="15.7109375" style="34" bestFit="1" customWidth="1"/>
    <col min="21" max="21" width="19.42578125" customWidth="1"/>
  </cols>
  <sheetData>
    <row r="1" spans="1:55" ht="22.5" customHeight="1" x14ac:dyDescent="0.3">
      <c r="A1" s="42" t="s">
        <v>0</v>
      </c>
      <c r="B1" s="43" t="s">
        <v>130</v>
      </c>
      <c r="C1" s="42" t="s">
        <v>501</v>
      </c>
      <c r="D1" s="42" t="s">
        <v>621</v>
      </c>
      <c r="E1" s="42" t="s">
        <v>622</v>
      </c>
      <c r="F1" s="42" t="s">
        <v>469</v>
      </c>
      <c r="G1" s="42" t="s">
        <v>503</v>
      </c>
      <c r="H1" s="42" t="s">
        <v>504</v>
      </c>
      <c r="I1" s="42" t="s">
        <v>509</v>
      </c>
      <c r="J1" s="42" t="s">
        <v>506</v>
      </c>
      <c r="K1" s="42" t="s">
        <v>508</v>
      </c>
      <c r="L1" s="36" t="s">
        <v>507</v>
      </c>
      <c r="M1" s="36"/>
      <c r="N1" s="36"/>
      <c r="O1" s="36"/>
      <c r="P1" s="36"/>
      <c r="Q1" s="36"/>
      <c r="R1" s="40" t="s">
        <v>616</v>
      </c>
      <c r="S1" s="40" t="s">
        <v>131</v>
      </c>
      <c r="T1" s="41" t="s">
        <v>639</v>
      </c>
      <c r="U1" s="41" t="s">
        <v>648</v>
      </c>
      <c r="Z1" s="26" t="s">
        <v>470</v>
      </c>
      <c r="AA1" s="26" t="s">
        <v>471</v>
      </c>
      <c r="AB1" s="26" t="s">
        <v>472</v>
      </c>
      <c r="AC1" s="26" t="s">
        <v>473</v>
      </c>
      <c r="AD1" s="26" t="s">
        <v>474</v>
      </c>
      <c r="AE1" s="26" t="s">
        <v>475</v>
      </c>
      <c r="AF1" s="26" t="s">
        <v>476</v>
      </c>
      <c r="AG1" s="26" t="s">
        <v>477</v>
      </c>
      <c r="AH1" s="26" t="s">
        <v>478</v>
      </c>
      <c r="AI1" s="26" t="s">
        <v>479</v>
      </c>
      <c r="AJ1" s="26" t="s">
        <v>480</v>
      </c>
      <c r="AK1" s="26" t="s">
        <v>481</v>
      </c>
      <c r="AL1" s="26" t="s">
        <v>482</v>
      </c>
      <c r="AM1" s="26" t="s">
        <v>483</v>
      </c>
      <c r="AN1" s="26" t="s">
        <v>484</v>
      </c>
      <c r="AO1" s="26" t="s">
        <v>485</v>
      </c>
      <c r="AP1" s="26" t="s">
        <v>486</v>
      </c>
      <c r="AQ1" s="26" t="s">
        <v>487</v>
      </c>
      <c r="AR1" s="26" t="s">
        <v>488</v>
      </c>
      <c r="AS1" s="26" t="s">
        <v>489</v>
      </c>
      <c r="AT1" s="26" t="s">
        <v>490</v>
      </c>
      <c r="AU1" s="26" t="s">
        <v>491</v>
      </c>
      <c r="AV1" s="26" t="s">
        <v>492</v>
      </c>
      <c r="AW1" s="26" t="s">
        <v>493</v>
      </c>
      <c r="AX1" s="26" t="s">
        <v>494</v>
      </c>
      <c r="AY1" s="26" t="s">
        <v>495</v>
      </c>
      <c r="AZ1" s="26" t="s">
        <v>496</v>
      </c>
      <c r="BA1" s="26" t="s">
        <v>497</v>
      </c>
      <c r="BB1" s="26" t="s">
        <v>498</v>
      </c>
      <c r="BC1" s="26" t="s">
        <v>499</v>
      </c>
    </row>
    <row r="2" spans="1:55" x14ac:dyDescent="0.25">
      <c r="A2" t="s">
        <v>9</v>
      </c>
      <c r="B2" t="s">
        <v>10</v>
      </c>
      <c r="C2">
        <v>2</v>
      </c>
      <c r="D2" s="34">
        <v>17</v>
      </c>
      <c r="E2" s="34">
        <v>15</v>
      </c>
      <c r="F2" s="34">
        <v>37</v>
      </c>
      <c r="H2" s="20" t="str">
        <f>CONCATENATE(A2," ",IF(G2=0,"",ROMAN(G2+1)))</f>
        <v xml:space="preserve">Brahmagupta de Rajastão </v>
      </c>
      <c r="I2" s="31">
        <f>5000+3750*((D2^0.36+E2^0.29+F2^0.125)*J2/100)</f>
        <v>29512.510663454956</v>
      </c>
      <c r="J2" s="29">
        <f>100*((45-Q2)/41)*((43-P2)/39)*((41-O2)/37)*((39-N2)/35)*((37-M2)/33)*((35-L2)/31)</f>
        <v>100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 s="34">
        <f>IFERROR(VLOOKUP(A2,Selecionados!$B$2:$C$101,2,FALSE),"")</f>
        <v>60</v>
      </c>
      <c r="S2" s="33" t="str">
        <f>IFERROR(VLOOKUP(A2,Selecionados!$B$2:$D$101,3,FALSE),"")</f>
        <v>Zaynun زينون</v>
      </c>
      <c r="T2" s="32">
        <f>I2*(Selecionados!$Q$4/100)</f>
        <v>979.8153540267017</v>
      </c>
      <c r="U2" s="32">
        <f>I2*Selecionados!$I$4+(Selecionados!$K$6/100)*I2*Selecionados!$K$4+(Selecionados!$M$6/100)*I2*Selecionados!$M$6+(Selecionados!$P$6/100)*I2*Selecionados!$P$4</f>
        <v>32288.802923846368</v>
      </c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</row>
    <row r="3" spans="1:55" x14ac:dyDescent="0.25">
      <c r="A3" t="s">
        <v>1</v>
      </c>
      <c r="B3" t="s">
        <v>11</v>
      </c>
      <c r="C3">
        <v>2</v>
      </c>
      <c r="D3" s="34">
        <v>14</v>
      </c>
      <c r="E3" s="34">
        <v>16</v>
      </c>
      <c r="F3" s="34">
        <v>36</v>
      </c>
      <c r="H3" s="20" t="str">
        <f t="shared" ref="H3:H66" si="0">CONCATENATE(A3," ",IF(G3=0,"",ROMAN(G3+1)))</f>
        <v xml:space="preserve">Antoine-Laurent Lavoisier </v>
      </c>
      <c r="I3" s="31">
        <f t="shared" ref="I3:I66" si="1">5000+3750*((D3^0.36+E3^0.29+F3^0.125)*J3/100)</f>
        <v>28945.719928476155</v>
      </c>
      <c r="J3" s="29">
        <f>100*((25-M3)/21)*((25-N3)/21)*((25-O3)/21)*((25-P3)/21)*((25-Q3)/21)*((25-L3)/21)</f>
        <v>100</v>
      </c>
      <c r="L3" s="20">
        <v>4</v>
      </c>
      <c r="M3" s="20">
        <v>4</v>
      </c>
      <c r="N3" s="20">
        <v>4</v>
      </c>
      <c r="O3" s="20">
        <v>4</v>
      </c>
      <c r="P3" s="20">
        <v>4</v>
      </c>
      <c r="Q3" s="20">
        <v>4</v>
      </c>
      <c r="R3" s="34">
        <f>IFERROR(VLOOKUP(A3,Selecionados!$B$2:$C$101,2,FALSE),"")</f>
        <v>68</v>
      </c>
      <c r="S3" s="33" t="str">
        <f>IFERROR(VLOOKUP(A3,Selecionados!$B$2:$D$101,3,FALSE),"")</f>
        <v>ስካንዲየም</v>
      </c>
      <c r="T3" s="32">
        <f>I3*(Selecionados!$Q$4/100)</f>
        <v>960.99790162540558</v>
      </c>
      <c r="U3" s="32">
        <f>I3*Selecionados!$I$4+(Selecionados!$K$6/100)*I3*Selecionados!$K$4+(Selecionados!$M$6/100)*I3*Selecionados!$M$6+(Selecionados!$P$6/100)*I3*Selecionados!$P$4</f>
        <v>31668.693216831361</v>
      </c>
      <c r="AE3" s="28" t="s">
        <v>500</v>
      </c>
      <c r="AF3" s="28">
        <v>2</v>
      </c>
      <c r="AG3" s="28">
        <v>3</v>
      </c>
      <c r="AH3" s="28">
        <v>4</v>
      </c>
      <c r="AI3" s="28">
        <v>5</v>
      </c>
      <c r="AJ3" s="28">
        <v>6</v>
      </c>
      <c r="AK3" s="28">
        <v>7</v>
      </c>
      <c r="AL3" s="28">
        <v>8</v>
      </c>
      <c r="AM3" s="28">
        <v>9</v>
      </c>
      <c r="AN3" s="28">
        <v>10</v>
      </c>
      <c r="AO3" s="28">
        <v>11</v>
      </c>
      <c r="AP3" s="28">
        <v>12</v>
      </c>
      <c r="AQ3" s="28">
        <v>13</v>
      </c>
      <c r="AR3" s="28">
        <v>14</v>
      </c>
      <c r="AS3" s="28">
        <v>15</v>
      </c>
      <c r="AT3" s="28">
        <v>16</v>
      </c>
      <c r="AU3" s="28">
        <v>17</v>
      </c>
      <c r="AV3" s="28">
        <v>18</v>
      </c>
      <c r="AW3" s="28">
        <v>19</v>
      </c>
      <c r="AX3" s="28">
        <v>20</v>
      </c>
      <c r="AY3" s="28">
        <v>21</v>
      </c>
      <c r="AZ3" s="28">
        <v>22</v>
      </c>
      <c r="BA3" s="28">
        <v>23</v>
      </c>
      <c r="BB3" s="28">
        <v>24</v>
      </c>
      <c r="BC3" s="28">
        <v>25</v>
      </c>
    </row>
    <row r="4" spans="1:55" x14ac:dyDescent="0.25">
      <c r="A4" t="s">
        <v>30</v>
      </c>
      <c r="B4" t="s">
        <v>12</v>
      </c>
      <c r="C4">
        <v>1</v>
      </c>
      <c r="D4" s="34">
        <v>16</v>
      </c>
      <c r="E4" s="34">
        <v>12</v>
      </c>
      <c r="F4" s="34">
        <v>27</v>
      </c>
      <c r="H4" s="20" t="str">
        <f t="shared" si="0"/>
        <v xml:space="preserve">Aage N. Bohr </v>
      </c>
      <c r="I4" s="31">
        <f t="shared" si="1"/>
        <v>28545.221290895119</v>
      </c>
      <c r="J4" s="29">
        <f>100*((25-M4)/21)*((25-N4)/21)*((25-O4)/21)*((25-P4)/21)*((25-Q4)/21)*((25-L4)/21)</f>
        <v>100</v>
      </c>
      <c r="L4" s="20">
        <v>4</v>
      </c>
      <c r="M4" s="20">
        <v>4</v>
      </c>
      <c r="N4" s="20">
        <v>4</v>
      </c>
      <c r="O4" s="20">
        <v>4</v>
      </c>
      <c r="P4" s="20">
        <v>4</v>
      </c>
      <c r="Q4" s="20">
        <v>4</v>
      </c>
      <c r="R4" s="34">
        <f>IFERROR(VLOOKUP(A4,Selecionados!$B$2:$C$101,2,FALSE),"")</f>
        <v>92</v>
      </c>
      <c r="S4" s="33" t="str">
        <f>IFERROR(VLOOKUP(A4,Selecionados!$B$2:$D$101,3,FALSE),"")</f>
        <v>Helium</v>
      </c>
      <c r="T4" s="32">
        <f>I4*(Selecionados!$Q$4/100)</f>
        <v>947.70134685771518</v>
      </c>
      <c r="U4" s="32">
        <f>I4*Selecionados!$I$4+(Selecionados!$K$6/100)*I4*Selecionados!$K$4+(Selecionados!$M$6/100)*I4*Selecionados!$M$6+(Selecionados!$P$6/100)*I4*Selecionados!$P$4</f>
        <v>31230.518988701857</v>
      </c>
      <c r="AE4" s="27">
        <f>IFERROR(LARGE($Z$2:$AI$2,1),0)</f>
        <v>0</v>
      </c>
      <c r="AF4" s="27">
        <f>IFERROR(LARGE($Z$2:$AI$2,AF3),0)</f>
        <v>0</v>
      </c>
      <c r="AG4" s="27">
        <f t="shared" ref="AG4:BC4" si="2">IFERROR(LARGE($Z$2:$AI$2,AG3),0)</f>
        <v>0</v>
      </c>
      <c r="AH4" s="27">
        <f t="shared" si="2"/>
        <v>0</v>
      </c>
      <c r="AI4" s="27">
        <f t="shared" si="2"/>
        <v>0</v>
      </c>
      <c r="AJ4" s="27">
        <f t="shared" si="2"/>
        <v>0</v>
      </c>
      <c r="AK4" s="27">
        <f t="shared" si="2"/>
        <v>0</v>
      </c>
      <c r="AL4" s="27">
        <f t="shared" si="2"/>
        <v>0</v>
      </c>
      <c r="AM4" s="27">
        <f t="shared" si="2"/>
        <v>0</v>
      </c>
      <c r="AN4" s="27">
        <f t="shared" si="2"/>
        <v>0</v>
      </c>
      <c r="AO4" s="27">
        <f t="shared" si="2"/>
        <v>0</v>
      </c>
      <c r="AP4" s="27">
        <f t="shared" si="2"/>
        <v>0</v>
      </c>
      <c r="AQ4" s="27">
        <f t="shared" si="2"/>
        <v>0</v>
      </c>
      <c r="AR4" s="27">
        <f t="shared" si="2"/>
        <v>0</v>
      </c>
      <c r="AS4" s="27">
        <f t="shared" si="2"/>
        <v>0</v>
      </c>
      <c r="AT4" s="27">
        <f t="shared" si="2"/>
        <v>0</v>
      </c>
      <c r="AU4" s="27">
        <f t="shared" si="2"/>
        <v>0</v>
      </c>
      <c r="AV4" s="27">
        <f t="shared" si="2"/>
        <v>0</v>
      </c>
      <c r="AW4" s="27">
        <f t="shared" si="2"/>
        <v>0</v>
      </c>
      <c r="AX4" s="27">
        <f t="shared" si="2"/>
        <v>0</v>
      </c>
      <c r="AY4" s="27">
        <f t="shared" si="2"/>
        <v>0</v>
      </c>
      <c r="AZ4" s="27">
        <f t="shared" si="2"/>
        <v>0</v>
      </c>
      <c r="BA4" s="27">
        <f t="shared" si="2"/>
        <v>0</v>
      </c>
      <c r="BB4" s="27">
        <f t="shared" si="2"/>
        <v>0</v>
      </c>
      <c r="BC4" s="27">
        <f t="shared" si="2"/>
        <v>0</v>
      </c>
    </row>
    <row r="5" spans="1:55" x14ac:dyDescent="0.25">
      <c r="A5" t="s">
        <v>2</v>
      </c>
      <c r="B5" t="s">
        <v>109</v>
      </c>
      <c r="C5">
        <v>1</v>
      </c>
      <c r="D5" s="34">
        <v>14</v>
      </c>
      <c r="E5" s="34">
        <v>12</v>
      </c>
      <c r="F5" s="34">
        <v>32</v>
      </c>
      <c r="H5" s="20" t="str">
        <f t="shared" si="0"/>
        <v xml:space="preserve">Svante Arrhenius </v>
      </c>
      <c r="I5" s="31">
        <f t="shared" si="1"/>
        <v>28189.214966187898</v>
      </c>
      <c r="J5" s="29">
        <f>100*((25-M5)/21)*((25-N5)/21)*((25-O5)/21)*((25-P5)/21)*((25-Q5)/21)*((25-L5)/21)</f>
        <v>100</v>
      </c>
      <c r="L5" s="20">
        <v>4</v>
      </c>
      <c r="M5" s="20">
        <v>4</v>
      </c>
      <c r="N5" s="20">
        <v>4</v>
      </c>
      <c r="O5" s="20">
        <v>4</v>
      </c>
      <c r="P5" s="20">
        <v>4</v>
      </c>
      <c r="Q5" s="20">
        <v>4</v>
      </c>
      <c r="R5" s="34">
        <f>IFERROR(VLOOKUP(A5,Selecionados!$B$2:$C$101,2,FALSE),"")</f>
        <v>74</v>
      </c>
      <c r="S5" s="33" t="str">
        <f>IFERROR(VLOOKUP(A5,Selecionados!$B$2:$D$101,3,FALSE),"")</f>
        <v>Níquel</v>
      </c>
      <c r="T5" s="32">
        <f>I5*(Selecionados!$Q$4/100)</f>
        <v>935.88193687743546</v>
      </c>
      <c r="U5" s="32">
        <f>I5*Selecionados!$I$4+(Selecionados!$K$6/100)*I5*Selecionados!$K$4+(Selecionados!$M$6/100)*I5*Selecionados!$M$6+(Selecionados!$P$6/100)*I5*Selecionados!$P$4</f>
        <v>30841.022541273258</v>
      </c>
    </row>
    <row r="6" spans="1:55" x14ac:dyDescent="0.25">
      <c r="A6" t="s">
        <v>20</v>
      </c>
      <c r="B6" t="s">
        <v>18</v>
      </c>
      <c r="C6">
        <v>1</v>
      </c>
      <c r="D6" s="34">
        <v>16</v>
      </c>
      <c r="E6" s="34">
        <v>18</v>
      </c>
      <c r="F6" s="34">
        <v>34</v>
      </c>
      <c r="H6" s="20" t="str">
        <f t="shared" si="0"/>
        <v xml:space="preserve">Thiago Sequinel </v>
      </c>
      <c r="I6" s="31">
        <f t="shared" si="1"/>
        <v>29672.638222687674</v>
      </c>
      <c r="J6" s="29">
        <f>100*((25-M6)/21)*((25-N6)/21)*((25-O6)/21)*((25-P6)/21)*((25-Q6)/21)*((25-L6)/21)</f>
        <v>100</v>
      </c>
      <c r="L6" s="20">
        <v>4</v>
      </c>
      <c r="M6" s="20">
        <v>4</v>
      </c>
      <c r="N6" s="20">
        <v>4</v>
      </c>
      <c r="O6" s="20">
        <v>4</v>
      </c>
      <c r="P6" s="20">
        <v>4</v>
      </c>
      <c r="Q6" s="20">
        <v>4</v>
      </c>
      <c r="R6" s="34">
        <f>IFERROR(VLOOKUP(A6,Selecionados!$B$2:$C$101,2,FALSE),"")</f>
        <v>19</v>
      </c>
      <c r="S6" s="33" t="str">
        <f>IFERROR(VLOOKUP(A6,Selecionados!$B$2:$D$101,3,FALSE),"")</f>
        <v>Cuprum</v>
      </c>
      <c r="T6" s="32">
        <f>I6*(Selecionados!$Q$4/100)</f>
        <v>985.13158899322787</v>
      </c>
      <c r="U6" s="32">
        <f>I6*Selecionados!$I$4+(Selecionados!$K$6/100)*I6*Selecionados!$K$4+(Selecionados!$M$6/100)*I6*Selecionados!$M$6+(Selecionados!$P$6/100)*I6*Selecionados!$P$4</f>
        <v>32463.993955937862</v>
      </c>
    </row>
    <row r="7" spans="1:55" x14ac:dyDescent="0.25">
      <c r="A7" t="s">
        <v>3</v>
      </c>
      <c r="B7" s="1" t="s">
        <v>14</v>
      </c>
      <c r="C7">
        <v>1</v>
      </c>
      <c r="D7" s="34">
        <v>10</v>
      </c>
      <c r="E7" s="34">
        <v>14</v>
      </c>
      <c r="F7" s="34">
        <v>37</v>
      </c>
      <c r="H7" s="20" t="str">
        <f t="shared" si="0"/>
        <v xml:space="preserve">Ernest Rutherford </v>
      </c>
      <c r="I7" s="31">
        <f t="shared" si="1"/>
        <v>27541.31765826913</v>
      </c>
      <c r="J7" s="29">
        <f>100*((25-M7)/21)*((25-N7)/21)*((25-O7)/21)*((25-P7)/21)*((25-Q7)/21)*((25-L7)/21)</f>
        <v>100</v>
      </c>
      <c r="L7" s="20">
        <v>4</v>
      </c>
      <c r="M7" s="20">
        <v>4</v>
      </c>
      <c r="N7" s="20">
        <v>4</v>
      </c>
      <c r="O7" s="20">
        <v>4</v>
      </c>
      <c r="P7" s="20">
        <v>4</v>
      </c>
      <c r="Q7" s="20">
        <v>4</v>
      </c>
      <c r="R7" s="34">
        <f>IFERROR(VLOOKUP(A7,Selecionados!$B$2:$C$101,2,FALSE),"")</f>
        <v>49</v>
      </c>
      <c r="S7" s="33" t="str">
        <f>IFERROR(VLOOKUP(A7,Selecionados!$B$2:$D$101,3,FALSE),"")</f>
        <v>Yttru</v>
      </c>
      <c r="T7" s="32">
        <f>I7*(Selecionados!$Q$4/100)</f>
        <v>914.37174625453247</v>
      </c>
      <c r="U7" s="32">
        <f>I7*Selecionados!$I$4+(Selecionados!$K$6/100)*I7*Selecionados!$K$4+(Selecionados!$M$6/100)*I7*Selecionados!$M$6+(Selecionados!$P$6/100)*I7*Selecionados!$P$4</f>
        <v>30132.176427540733</v>
      </c>
    </row>
    <row r="8" spans="1:55" x14ac:dyDescent="0.25">
      <c r="A8" t="s">
        <v>4</v>
      </c>
      <c r="B8" t="s">
        <v>10</v>
      </c>
      <c r="C8">
        <v>1</v>
      </c>
      <c r="D8" s="34">
        <v>13</v>
      </c>
      <c r="E8" s="34">
        <v>12</v>
      </c>
      <c r="F8" s="34">
        <v>30</v>
      </c>
      <c r="H8" s="20" t="str">
        <f t="shared" si="0"/>
        <v xml:space="preserve">Akaria Bháskara </v>
      </c>
      <c r="I8" s="31">
        <f t="shared" si="1"/>
        <v>27887.462537373754</v>
      </c>
      <c r="J8" s="29">
        <f>100*((25-M8)/21)*((25-N8)/21)*((25-O8)/21)*((25-P8)/21)*((25-Q8)/21)*((25-L8)/21)</f>
        <v>100</v>
      </c>
      <c r="K8" s="20"/>
      <c r="L8" s="20">
        <v>4</v>
      </c>
      <c r="M8" s="20">
        <v>4</v>
      </c>
      <c r="N8" s="20">
        <v>4</v>
      </c>
      <c r="O8" s="20">
        <v>4</v>
      </c>
      <c r="P8" s="20">
        <v>4</v>
      </c>
      <c r="Q8" s="20">
        <v>4</v>
      </c>
      <c r="R8" s="34">
        <f>IFERROR(VLOOKUP(A8,Selecionados!$B$2:$C$101,2,FALSE),"")</f>
        <v>69</v>
      </c>
      <c r="S8" s="33" t="str">
        <f>IFERROR(VLOOKUP(A8,Selecionados!$B$2:$D$101,3,FALSE),"")</f>
        <v>Sulph</v>
      </c>
      <c r="T8" s="32">
        <f>I8*(Selecionados!$Q$4/100)</f>
        <v>925.86375624080597</v>
      </c>
      <c r="U8" s="32">
        <f>I8*Selecionados!$I$4+(Selecionados!$K$6/100)*I8*Selecionados!$K$4+(Selecionados!$M$6/100)*I8*Selecionados!$M$6+(Selecionados!$P$6/100)*I8*Selecionados!$P$4</f>
        <v>30510.883746343934</v>
      </c>
    </row>
    <row r="9" spans="1:55" x14ac:dyDescent="0.25">
      <c r="A9" t="s">
        <v>5</v>
      </c>
      <c r="B9" t="s">
        <v>11</v>
      </c>
      <c r="C9">
        <v>3</v>
      </c>
      <c r="D9" s="34">
        <v>14</v>
      </c>
      <c r="E9" s="34">
        <v>9</v>
      </c>
      <c r="F9" s="34">
        <v>37</v>
      </c>
      <c r="H9" s="20" t="str">
        <f t="shared" si="0"/>
        <v xml:space="preserve">René Descartes </v>
      </c>
      <c r="I9" s="31">
        <f t="shared" si="1"/>
        <v>27678.085200732799</v>
      </c>
      <c r="J9" s="29">
        <f>100*((25-M9)/21)*((25-N9)/21)*((25-O9)/21)*((25-P9)/21)*((25-Q9)/21)*((25-L9)/21)</f>
        <v>100</v>
      </c>
      <c r="K9" s="21"/>
      <c r="L9" s="20">
        <v>4</v>
      </c>
      <c r="M9" s="20">
        <v>4</v>
      </c>
      <c r="N9" s="20">
        <v>4</v>
      </c>
      <c r="O9" s="20">
        <v>4</v>
      </c>
      <c r="P9" s="20">
        <v>4</v>
      </c>
      <c r="Q9" s="20">
        <v>4</v>
      </c>
      <c r="R9" s="34">
        <f>IFERROR(VLOOKUP(A9,Selecionados!$B$2:$C$101,2,FALSE),"")</f>
        <v>37</v>
      </c>
      <c r="S9" s="33" t="str">
        <f>IFERROR(VLOOKUP(A9,Selecionados!$B$2:$D$101,3,FALSE),"")</f>
        <v>Pi</v>
      </c>
      <c r="T9" s="32">
        <f>I9*(Selecionados!$Q$4/100)</f>
        <v>918.91242866432628</v>
      </c>
      <c r="U9" s="32">
        <f>I9*Selecionados!$I$4+(Selecionados!$K$6/100)*I9*Selecionados!$K$4+(Selecionados!$M$6/100)*I9*Selecionados!$M$6+(Selecionados!$P$6/100)*I9*Selecionados!$P$4</f>
        <v>30281.809926206661</v>
      </c>
    </row>
    <row r="10" spans="1:55" x14ac:dyDescent="0.25">
      <c r="A10" t="s">
        <v>24</v>
      </c>
      <c r="B10" t="s">
        <v>25</v>
      </c>
      <c r="C10">
        <v>3</v>
      </c>
      <c r="D10" s="34">
        <v>12</v>
      </c>
      <c r="E10" s="34">
        <v>12</v>
      </c>
      <c r="F10" s="34">
        <v>30</v>
      </c>
      <c r="H10" s="20" t="str">
        <f t="shared" si="0"/>
        <v xml:space="preserve">Erwin Schrödinger </v>
      </c>
      <c r="I10" s="31">
        <f t="shared" si="1"/>
        <v>27619.278457863202</v>
      </c>
      <c r="J10" s="29">
        <f>100*((25-M10)/21)*((25-N10)/21)*((25-O10)/21)*((25-P10)/21)*((25-Q10)/21)*((25-L10)/21)</f>
        <v>100</v>
      </c>
      <c r="K10" s="21"/>
      <c r="L10" s="20">
        <v>4</v>
      </c>
      <c r="M10" s="20">
        <v>4</v>
      </c>
      <c r="N10" s="20">
        <v>4</v>
      </c>
      <c r="O10" s="20">
        <v>4</v>
      </c>
      <c r="P10" s="20">
        <v>4</v>
      </c>
      <c r="Q10" s="20">
        <v>4</v>
      </c>
      <c r="R10" s="34">
        <f>IFERROR(VLOOKUP(A10,Selecionados!$B$2:$C$101,2,FALSE),"")</f>
        <v>43</v>
      </c>
      <c r="S10" s="33" t="str">
        <f>IFERROR(VLOOKUP(A10,Selecionados!$B$2:$D$101,3,FALSE),"")</f>
        <v>Nǚ 钕</v>
      </c>
      <c r="T10" s="32">
        <f>I10*(Selecionados!$Q$4/100)</f>
        <v>916.96004480105557</v>
      </c>
      <c r="U10" s="32">
        <f>I10*Selecionados!$I$4+(Selecionados!$K$6/100)*I10*Selecionados!$K$4+(Selecionados!$M$6/100)*I10*Selecionados!$M$6+(Selecionados!$P$6/100)*I10*Selecionados!$P$4</f>
        <v>30217.471132643394</v>
      </c>
    </row>
    <row r="11" spans="1:55" x14ac:dyDescent="0.25">
      <c r="A11" t="s">
        <v>6</v>
      </c>
      <c r="B11" t="s">
        <v>129</v>
      </c>
      <c r="C11">
        <v>2</v>
      </c>
      <c r="D11" s="34">
        <v>16</v>
      </c>
      <c r="E11" s="34">
        <v>16</v>
      </c>
      <c r="F11" s="34">
        <v>34</v>
      </c>
      <c r="H11" s="20" t="str">
        <f t="shared" si="0"/>
        <v xml:space="preserve">Simon Stevin </v>
      </c>
      <c r="I11" s="31">
        <f t="shared" si="1"/>
        <v>29381.469291866288</v>
      </c>
      <c r="J11" s="29">
        <f>100*((25-M11)/21)*((25-N11)/21)*((25-O11)/21)*((25-P11)/21)*((25-Q11)/21)*((25-L11)/21)</f>
        <v>100</v>
      </c>
      <c r="K11" s="21"/>
      <c r="L11" s="20">
        <v>4</v>
      </c>
      <c r="M11" s="20">
        <v>4</v>
      </c>
      <c r="N11" s="20">
        <v>4</v>
      </c>
      <c r="O11" s="20">
        <v>4</v>
      </c>
      <c r="P11" s="20">
        <v>4</v>
      </c>
      <c r="Q11" s="20">
        <v>4</v>
      </c>
      <c r="R11" s="34">
        <f>IFERROR(VLOOKUP(A11,Selecionados!$B$2:$C$101,2,FALSE),"")</f>
        <v>6</v>
      </c>
      <c r="S11" s="33" t="str">
        <f>IFERROR(VLOOKUP(A11,Selecionados!$B$2:$D$101,3,FALSE),"")</f>
        <v>Argento</v>
      </c>
      <c r="T11" s="32">
        <f>I11*(Selecionados!$Q$4/100)</f>
        <v>975.46478048995789</v>
      </c>
      <c r="U11" s="32">
        <f>I11*Selecionados!$I$4+(Selecionados!$K$6/100)*I11*Selecionados!$K$4+(Selecionados!$M$6/100)*I11*Selecionados!$M$6+(Selecionados!$P$6/100)*I11*Selecionados!$P$4</f>
        <v>32145.434266725093</v>
      </c>
    </row>
    <row r="12" spans="1:55" x14ac:dyDescent="0.25">
      <c r="A12" t="s">
        <v>17</v>
      </c>
      <c r="B12" t="s">
        <v>18</v>
      </c>
      <c r="C12">
        <v>1</v>
      </c>
      <c r="D12" s="34">
        <v>13</v>
      </c>
      <c r="E12" s="34">
        <v>9</v>
      </c>
      <c r="F12" s="34">
        <v>31</v>
      </c>
      <c r="H12" s="20" t="str">
        <f t="shared" si="0"/>
        <v xml:space="preserve">Jairton Dupont </v>
      </c>
      <c r="I12" s="31">
        <f t="shared" si="1"/>
        <v>27293.982857537863</v>
      </c>
      <c r="J12" s="29">
        <f>100*((25-M12)/21)*((25-N12)/21)*((25-O12)/21)*((25-P12)/21)*((25-Q12)/21)*((25-L12)/21)</f>
        <v>100</v>
      </c>
      <c r="K12" s="21"/>
      <c r="L12" s="20">
        <v>4</v>
      </c>
      <c r="M12" s="20">
        <v>4</v>
      </c>
      <c r="N12" s="20">
        <v>4</v>
      </c>
      <c r="O12" s="20">
        <v>4</v>
      </c>
      <c r="P12" s="20">
        <v>4</v>
      </c>
      <c r="Q12" s="20">
        <v>4</v>
      </c>
      <c r="R12" s="34">
        <f>IFERROR(VLOOKUP(A12,Selecionados!$B$2:$C$101,2,FALSE),"")</f>
        <v>11</v>
      </c>
      <c r="S12" s="33" t="str">
        <f>IFERROR(VLOOKUP(A12,Selecionados!$B$2:$D$101,3,FALSE),"")</f>
        <v>Lì 鎘</v>
      </c>
      <c r="T12" s="32">
        <f>I12*(Selecionados!$Q$4/100)</f>
        <v>906.1602308702544</v>
      </c>
      <c r="U12" s="32">
        <f>I12*Selecionados!$I$4+(Selecionados!$K$6/100)*I12*Selecionados!$K$4+(Selecionados!$M$6/100)*I12*Selecionados!$M$6+(Selecionados!$P$6/100)*I12*Selecionados!$P$4</f>
        <v>29861.574419867095</v>
      </c>
    </row>
    <row r="13" spans="1:55" x14ac:dyDescent="0.25">
      <c r="A13" t="s">
        <v>7</v>
      </c>
      <c r="B13" t="s">
        <v>38</v>
      </c>
      <c r="C13">
        <v>1</v>
      </c>
      <c r="D13" s="34">
        <v>14</v>
      </c>
      <c r="E13" s="34">
        <v>13</v>
      </c>
      <c r="F13" s="34">
        <v>35</v>
      </c>
      <c r="H13" s="20" t="str">
        <f t="shared" si="0"/>
        <v xml:space="preserve">Diofanto de Alexandria </v>
      </c>
      <c r="I13" s="31">
        <f t="shared" si="1"/>
        <v>28435.396340574353</v>
      </c>
      <c r="J13" s="29">
        <f>100*((25-M13)/21)*((25-N13)/21)*((25-O13)/21)*((25-P13)/21)*((25-Q13)/21)*((25-L13)/21)</f>
        <v>100</v>
      </c>
      <c r="K13" s="21"/>
      <c r="L13" s="20">
        <v>4</v>
      </c>
      <c r="M13" s="20">
        <v>4</v>
      </c>
      <c r="N13" s="20">
        <v>4</v>
      </c>
      <c r="O13" s="20">
        <v>4</v>
      </c>
      <c r="P13" s="20">
        <v>4</v>
      </c>
      <c r="Q13" s="20">
        <v>4</v>
      </c>
      <c r="R13" s="34">
        <f>IFERROR(VLOOKUP(A13,Selecionados!$B$2:$C$101,2,FALSE),"")</f>
        <v>39</v>
      </c>
      <c r="S13" s="33" t="str">
        <f>IFERROR(VLOOKUP(A13,Selecionados!$B$2:$D$101,3,FALSE),"")</f>
        <v>Californiano</v>
      </c>
      <c r="T13" s="32">
        <f>I13*(Selecionados!$Q$4/100)</f>
        <v>944.0551585070657</v>
      </c>
      <c r="U13" s="32">
        <f>I13*Selecionados!$I$4+(Selecionados!$K$6/100)*I13*Selecionados!$K$4+(Selecionados!$M$6/100)*I13*Selecionados!$M$6+(Selecionados!$P$6/100)*I13*Selecionados!$P$4</f>
        <v>31110.362617816761</v>
      </c>
    </row>
    <row r="14" spans="1:55" x14ac:dyDescent="0.25">
      <c r="A14" t="s">
        <v>8</v>
      </c>
      <c r="B14" t="s">
        <v>14</v>
      </c>
      <c r="C14">
        <v>2</v>
      </c>
      <c r="D14" s="34">
        <v>15</v>
      </c>
      <c r="E14" s="34">
        <v>11</v>
      </c>
      <c r="F14" s="34">
        <v>26</v>
      </c>
      <c r="H14" s="20" t="str">
        <f t="shared" si="0"/>
        <v xml:space="preserve">Isaac Newton </v>
      </c>
      <c r="I14" s="31">
        <f t="shared" si="1"/>
        <v>28092.817958894993</v>
      </c>
      <c r="J14" s="29">
        <f>100*((25-M14)/21)*((25-N14)/21)*((25-O14)/21)*((25-P14)/21)*((25-Q14)/21)*((25-L14)/21)</f>
        <v>100</v>
      </c>
      <c r="K14" s="24"/>
      <c r="L14" s="20">
        <v>4</v>
      </c>
      <c r="M14" s="20">
        <v>4</v>
      </c>
      <c r="N14" s="20">
        <v>4</v>
      </c>
      <c r="O14" s="20">
        <v>4</v>
      </c>
      <c r="P14" s="20">
        <v>4</v>
      </c>
      <c r="Q14" s="20">
        <v>4</v>
      </c>
      <c r="R14" s="34">
        <f>IFERROR(VLOOKUP(A14,Selecionados!$B$2:$C$101,2,FALSE),"")</f>
        <v>21</v>
      </c>
      <c r="S14" s="33" t="str">
        <f>IFERROR(VLOOKUP(A14,Selecionados!$B$2:$D$101,3,FALSE),"")</f>
        <v>Fleróvio</v>
      </c>
      <c r="T14" s="32">
        <f>I14*(Selecionados!$Q$4/100)</f>
        <v>932.68155623531106</v>
      </c>
      <c r="U14" s="32">
        <f>I14*Selecionados!$I$4+(Selecionados!$K$6/100)*I14*Selecionados!$K$4+(Selecionados!$M$6/100)*I14*Selecionados!$M$6+(Selecionados!$P$6/100)*I14*Selecionados!$P$4</f>
        <v>30735.557302940168</v>
      </c>
    </row>
    <row r="15" spans="1:55" x14ac:dyDescent="0.25">
      <c r="A15" t="s">
        <v>13</v>
      </c>
      <c r="B15" t="s">
        <v>14</v>
      </c>
      <c r="C15">
        <v>1</v>
      </c>
      <c r="D15" s="34">
        <v>14</v>
      </c>
      <c r="E15" s="34">
        <v>18</v>
      </c>
      <c r="F15" s="34">
        <v>31</v>
      </c>
      <c r="H15" s="20" t="str">
        <f t="shared" si="0"/>
        <v xml:space="preserve">Joseph J. Thompson </v>
      </c>
      <c r="I15" s="31">
        <f t="shared" si="1"/>
        <v>29128.206268071644</v>
      </c>
      <c r="J15" s="29">
        <f>100*((25-M15)/21)*((25-N15)/21)*((25-O15)/21)*((25-P15)/21)*((25-Q15)/21)*((25-L15)/21)</f>
        <v>100</v>
      </c>
      <c r="L15" s="20">
        <v>4</v>
      </c>
      <c r="M15" s="20">
        <v>4</v>
      </c>
      <c r="N15" s="20">
        <v>4</v>
      </c>
      <c r="O15" s="20">
        <v>4</v>
      </c>
      <c r="P15" s="20">
        <v>4</v>
      </c>
      <c r="Q15" s="20">
        <v>4</v>
      </c>
      <c r="R15" s="34">
        <f>IFERROR(VLOOKUP(A15,Selecionados!$B$2:$C$101,2,FALSE),"")</f>
        <v>84</v>
      </c>
      <c r="S15" s="33" t="str">
        <f>IFERROR(VLOOKUP(A15,Selecionados!$B$2:$D$101,3,FALSE),"")</f>
        <v>Deuterium</v>
      </c>
      <c r="T15" s="32">
        <f>I15*(Selecionados!$Q$4/100)</f>
        <v>967.0564480999758</v>
      </c>
      <c r="U15" s="32">
        <f>I15*Selecionados!$I$4+(Selecionados!$K$6/100)*I15*Selecionados!$K$4+(Selecionados!$M$6/100)*I15*Selecionados!$M$6+(Selecionados!$P$6/100)*I15*Selecionados!$P$4</f>
        <v>31868.346357924132</v>
      </c>
    </row>
    <row r="16" spans="1:55" x14ac:dyDescent="0.25">
      <c r="A16" t="s">
        <v>15</v>
      </c>
      <c r="B16" t="s">
        <v>16</v>
      </c>
      <c r="C16">
        <v>1</v>
      </c>
      <c r="D16" s="34">
        <v>16</v>
      </c>
      <c r="E16" s="34">
        <v>14</v>
      </c>
      <c r="F16" s="34">
        <v>28</v>
      </c>
      <c r="H16" s="20" t="str">
        <f t="shared" si="0"/>
        <v xml:space="preserve">Werner K. Heisenberg </v>
      </c>
      <c r="I16" s="31">
        <f t="shared" si="1"/>
        <v>28923.454376398779</v>
      </c>
      <c r="J16" s="29">
        <f>100*((25-M16)/21)*((25-N16)/21)*((25-O16)/21)*((25-P16)/21)*((25-Q16)/21)*((25-L16)/21)</f>
        <v>100</v>
      </c>
      <c r="L16" s="20">
        <v>4</v>
      </c>
      <c r="M16" s="20">
        <v>4</v>
      </c>
      <c r="N16" s="20">
        <v>4</v>
      </c>
      <c r="O16" s="20">
        <v>4</v>
      </c>
      <c r="P16" s="20">
        <v>4</v>
      </c>
      <c r="Q16" s="20">
        <v>4</v>
      </c>
      <c r="R16" s="34">
        <f>IFERROR(VLOOKUP(A16,Selecionados!$B$2:$C$101,2,FALSE),"")</f>
        <v>20</v>
      </c>
      <c r="S16" s="33" t="str">
        <f>IFERROR(VLOOKUP(A16,Selecionados!$B$2:$D$101,3,FALSE),"")</f>
        <v>Copernito</v>
      </c>
      <c r="T16" s="32">
        <f>I16*(Selecionados!$Q$4/100)</f>
        <v>960.25868529643662</v>
      </c>
      <c r="U16" s="32">
        <f>I16*Selecionados!$I$4+(Selecionados!$K$6/100)*I16*Selecionados!$K$4+(Selecionados!$M$6/100)*I16*Selecionados!$M$6+(Selecionados!$P$6/100)*I16*Selecionados!$P$4</f>
        <v>31644.333106259426</v>
      </c>
    </row>
    <row r="17" spans="1:21" x14ac:dyDescent="0.25">
      <c r="A17" t="s">
        <v>26</v>
      </c>
      <c r="B17" t="s">
        <v>14</v>
      </c>
      <c r="C17">
        <v>2</v>
      </c>
      <c r="D17" s="34">
        <v>13</v>
      </c>
      <c r="E17" s="34">
        <v>10</v>
      </c>
      <c r="F17" s="34">
        <v>30</v>
      </c>
      <c r="H17" s="20" t="str">
        <f t="shared" si="0"/>
        <v xml:space="preserve">James Chadwick </v>
      </c>
      <c r="I17" s="31">
        <f t="shared" si="1"/>
        <v>27490.454633217982</v>
      </c>
      <c r="J17" s="29">
        <f>100*((25-M17)/21)*((25-N17)/21)*((25-O17)/21)*((25-P17)/21)*((25-Q17)/21)*((25-L17)/21)</f>
        <v>100</v>
      </c>
      <c r="L17" s="20">
        <v>4</v>
      </c>
      <c r="M17" s="20">
        <v>4</v>
      </c>
      <c r="N17" s="20">
        <v>4</v>
      </c>
      <c r="O17" s="20">
        <v>4</v>
      </c>
      <c r="P17" s="20">
        <v>4</v>
      </c>
      <c r="Q17" s="20">
        <v>4</v>
      </c>
      <c r="R17" s="34">
        <f>IFERROR(VLOOKUP(A17,Selecionados!$B$2:$C$101,2,FALSE),"")</f>
        <v>82</v>
      </c>
      <c r="S17" s="33" t="str">
        <f>IFERROR(VLOOKUP(A17,Selecionados!$B$2:$D$101,3,FALSE),"")</f>
        <v>Pò 釙</v>
      </c>
      <c r="T17" s="32">
        <f>I17*(Selecionados!$Q$4/100)</f>
        <v>912.68309382283428</v>
      </c>
      <c r="U17" s="32">
        <f>I17*Selecionados!$I$4+(Selecionados!$K$6/100)*I17*Selecionados!$K$4+(Selecionados!$M$6/100)*I17*Selecionados!$M$6+(Selecionados!$P$6/100)*I17*Selecionados!$P$4</f>
        <v>30076.528630892219</v>
      </c>
    </row>
    <row r="18" spans="1:21" x14ac:dyDescent="0.25">
      <c r="A18" t="s">
        <v>27</v>
      </c>
      <c r="B18" t="s">
        <v>16</v>
      </c>
      <c r="C18">
        <v>2</v>
      </c>
      <c r="D18" s="34">
        <v>11</v>
      </c>
      <c r="E18" s="34">
        <v>11</v>
      </c>
      <c r="F18" s="34">
        <v>34</v>
      </c>
      <c r="H18" s="20" t="str">
        <f t="shared" si="0"/>
        <v xml:space="preserve">Max Planck </v>
      </c>
      <c r="I18" s="31">
        <f t="shared" si="1"/>
        <v>27234.752536551448</v>
      </c>
      <c r="J18" s="29">
        <f>100*((25-M18)/21)*((25-N18)/21)*((25-O18)/21)*((25-P18)/21)*((25-Q18)/21)*((25-L18)/21)</f>
        <v>100</v>
      </c>
      <c r="L18" s="20">
        <v>4</v>
      </c>
      <c r="M18" s="20">
        <v>4</v>
      </c>
      <c r="N18" s="20">
        <v>4</v>
      </c>
      <c r="O18" s="20">
        <v>4</v>
      </c>
      <c r="P18" s="20">
        <v>4</v>
      </c>
      <c r="Q18" s="20">
        <v>4</v>
      </c>
      <c r="R18" s="34">
        <f>IFERROR(VLOOKUP(A18,Selecionados!$B$2:$C$101,2,FALSE),"")</f>
        <v>23</v>
      </c>
      <c r="S18" s="33" t="str">
        <f>IFERROR(VLOOKUP(A18,Selecionados!$B$2:$D$101,3,FALSE),"")</f>
        <v>Germanium</v>
      </c>
      <c r="T18" s="32">
        <f>I18*(Selecionados!$Q$4/100)</f>
        <v>904.19378421350541</v>
      </c>
      <c r="U18" s="32">
        <f>I18*Selecionados!$I$4+(Selecionados!$K$6/100)*I18*Selecionados!$K$4+(Selecionados!$M$6/100)*I18*Selecionados!$M$6+(Selecionados!$P$6/100)*I18*Selecionados!$P$4</f>
        <v>29796.772201470449</v>
      </c>
    </row>
    <row r="19" spans="1:21" x14ac:dyDescent="0.25">
      <c r="A19" t="s">
        <v>28</v>
      </c>
      <c r="B19" t="s">
        <v>14</v>
      </c>
      <c r="C19">
        <v>2</v>
      </c>
      <c r="D19" s="34">
        <v>13</v>
      </c>
      <c r="E19" s="34">
        <v>13</v>
      </c>
      <c r="F19" s="34">
        <v>30</v>
      </c>
      <c r="H19" s="20" t="str">
        <f t="shared" si="0"/>
        <v xml:space="preserve">John Dalton </v>
      </c>
      <c r="I19" s="31">
        <f t="shared" si="1"/>
        <v>28068.498082463528</v>
      </c>
      <c r="J19" s="29">
        <f>100*((25-M19)/21)*((25-N19)/21)*((25-O19)/21)*((25-P19)/21)*((25-Q19)/21)*((25-L19)/21)</f>
        <v>100</v>
      </c>
      <c r="L19" s="20">
        <v>4</v>
      </c>
      <c r="M19" s="20">
        <v>4</v>
      </c>
      <c r="N19" s="20">
        <v>4</v>
      </c>
      <c r="O19" s="20">
        <v>4</v>
      </c>
      <c r="P19" s="20">
        <v>4</v>
      </c>
      <c r="Q19" s="20">
        <v>4</v>
      </c>
      <c r="R19" s="34" t="str">
        <f>IFERROR(VLOOKUP(A19,Selecionados!$B$2:$C$101,2,FALSE),"")</f>
        <v/>
      </c>
      <c r="S19" s="33" t="str">
        <f>IFERROR(VLOOKUP(A19,Selecionados!$B$2:$D$101,3,FALSE),"")</f>
        <v/>
      </c>
      <c r="T19" s="32">
        <f>I19*(Selecionados!$Q$4/100)</f>
        <v>931.87413633778635</v>
      </c>
      <c r="U19" s="32">
        <f>I19*Selecionados!$I$4+(Selecionados!$K$6/100)*I19*Selecionados!$K$4+(Selecionados!$M$6/100)*I19*Selecionados!$M$6+(Selecionados!$P$6/100)*I19*Selecionados!$P$4</f>
        <v>30708.949614215122</v>
      </c>
    </row>
    <row r="20" spans="1:21" x14ac:dyDescent="0.25">
      <c r="A20" t="s">
        <v>21</v>
      </c>
      <c r="B20" t="s">
        <v>18</v>
      </c>
      <c r="C20">
        <v>2</v>
      </c>
      <c r="D20" s="34">
        <v>17</v>
      </c>
      <c r="E20" s="34">
        <v>17</v>
      </c>
      <c r="F20" s="34">
        <v>33</v>
      </c>
      <c r="H20" s="20" t="str">
        <f t="shared" si="0"/>
        <v xml:space="preserve">Fritz Feigl </v>
      </c>
      <c r="I20" s="31">
        <f t="shared" si="1"/>
        <v>29732.889854470508</v>
      </c>
      <c r="J20" s="29">
        <f>100*((25-M20)/21)*((25-N20)/21)*((25-O20)/21)*((25-P20)/21)*((25-Q20)/21)*((25-L20)/21)</f>
        <v>100</v>
      </c>
      <c r="L20" s="20">
        <v>4</v>
      </c>
      <c r="M20" s="20">
        <v>4</v>
      </c>
      <c r="N20" s="20">
        <v>4</v>
      </c>
      <c r="O20" s="20">
        <v>4</v>
      </c>
      <c r="P20" s="20">
        <v>4</v>
      </c>
      <c r="Q20" s="20">
        <v>4</v>
      </c>
      <c r="R20" s="34">
        <f>IFERROR(VLOOKUP(A20,Selecionados!$B$2:$C$101,2,FALSE),"")</f>
        <v>54</v>
      </c>
      <c r="S20" s="33" t="str">
        <f>IFERROR(VLOOKUP(A20,Selecionados!$B$2:$D$101,3,FALSE),"")</f>
        <v>Tsyerium</v>
      </c>
      <c r="T20" s="32">
        <f>I20*(Selecionados!$Q$4/100)</f>
        <v>987.13194316841793</v>
      </c>
      <c r="U20" s="32">
        <f>I20*Selecionados!$I$4+(Selecionados!$K$6/100)*I20*Selecionados!$K$4+(Selecionados!$M$6/100)*I20*Selecionados!$M$6+(Selecionados!$P$6/100)*I20*Selecionados!$P$4</f>
        <v>32529.913561581077</v>
      </c>
    </row>
    <row r="21" spans="1:21" x14ac:dyDescent="0.25">
      <c r="A21" t="s">
        <v>31</v>
      </c>
      <c r="B21" t="s">
        <v>25</v>
      </c>
      <c r="C21">
        <v>1</v>
      </c>
      <c r="D21" s="34">
        <v>15</v>
      </c>
      <c r="E21" s="34">
        <v>17</v>
      </c>
      <c r="F21" s="34">
        <v>37</v>
      </c>
      <c r="H21" s="20" t="str">
        <f t="shared" si="0"/>
        <v xml:space="preserve">Wolfgang Pauli </v>
      </c>
      <c r="I21" s="31">
        <f t="shared" si="1"/>
        <v>29358.346263608153</v>
      </c>
      <c r="J21" s="29">
        <f>100*((25-M21)/21)*((25-N21)/21)*((25-O21)/21)*((25-P21)/21)*((25-Q21)/21)*((25-L21)/21)</f>
        <v>100</v>
      </c>
      <c r="L21" s="20">
        <v>4</v>
      </c>
      <c r="M21" s="20">
        <v>4</v>
      </c>
      <c r="N21" s="20">
        <v>4</v>
      </c>
      <c r="O21" s="20">
        <v>4</v>
      </c>
      <c r="P21" s="20">
        <v>4</v>
      </c>
      <c r="Q21" s="20">
        <v>4</v>
      </c>
      <c r="R21" s="34">
        <f>IFERROR(VLOOKUP(A21,Selecionados!$B$2:$C$101,2,FALSE),"")</f>
        <v>1</v>
      </c>
      <c r="S21" s="33" t="str">
        <f>IFERROR(VLOOKUP(A21,Selecionados!$B$2:$D$101,3,FALSE),"")</f>
        <v>Tantalus</v>
      </c>
      <c r="T21" s="32">
        <f>I21*(Selecionados!$Q$4/100)</f>
        <v>974.69709595178779</v>
      </c>
      <c r="U21" s="32">
        <f>I21*Selecionados!$I$4+(Selecionados!$K$6/100)*I21*Selecionados!$K$4+(Selecionados!$M$6/100)*I21*Selecionados!$M$6+(Selecionados!$P$6/100)*I21*Selecionados!$P$4</f>
        <v>32120.136015724242</v>
      </c>
    </row>
    <row r="22" spans="1:21" x14ac:dyDescent="0.25">
      <c r="A22" t="s">
        <v>32</v>
      </c>
      <c r="B22" t="s">
        <v>33</v>
      </c>
      <c r="C22">
        <v>3</v>
      </c>
      <c r="D22" s="34">
        <v>13</v>
      </c>
      <c r="E22" s="34">
        <v>11</v>
      </c>
      <c r="F22" s="34">
        <v>35</v>
      </c>
      <c r="H22" s="20" t="str">
        <f t="shared" si="0"/>
        <v xml:space="preserve">Richard Feynman </v>
      </c>
      <c r="I22" s="31">
        <f t="shared" si="1"/>
        <v>27806.988388836329</v>
      </c>
      <c r="J22" s="29">
        <f>100*((25-M22)/21)*((25-N22)/21)*((25-O22)/21)*((25-P22)/21)*((25-Q22)/21)*((25-L22)/21)</f>
        <v>100</v>
      </c>
      <c r="L22" s="20">
        <v>4</v>
      </c>
      <c r="M22" s="20">
        <v>4</v>
      </c>
      <c r="N22" s="20">
        <v>4</v>
      </c>
      <c r="O22" s="20">
        <v>4</v>
      </c>
      <c r="P22" s="20">
        <v>4</v>
      </c>
      <c r="Q22" s="20">
        <v>4</v>
      </c>
      <c r="R22" s="34" t="str">
        <f>IFERROR(VLOOKUP(A22,Selecionados!$B$2:$C$101,2,FALSE),"")</f>
        <v/>
      </c>
      <c r="S22" s="33" t="str">
        <f>IFERROR(VLOOKUP(A22,Selecionados!$B$2:$D$101,3,FALSE),"")</f>
        <v/>
      </c>
      <c r="T22" s="32">
        <f>I22*(Selecionados!$Q$4/100)</f>
        <v>923.19201450936339</v>
      </c>
      <c r="U22" s="32">
        <f>I22*Selecionados!$I$4+(Selecionados!$K$6/100)*I22*Selecionados!$K$4+(Selecionados!$M$6/100)*I22*Selecionados!$M$6+(Selecionados!$P$6/100)*I22*Selecionados!$P$4</f>
        <v>30422.839257272157</v>
      </c>
    </row>
    <row r="23" spans="1:21" x14ac:dyDescent="0.25">
      <c r="A23" t="s">
        <v>34</v>
      </c>
      <c r="B23" t="s">
        <v>14</v>
      </c>
      <c r="C23">
        <v>3</v>
      </c>
      <c r="D23" s="34">
        <v>10</v>
      </c>
      <c r="E23" s="34">
        <v>4</v>
      </c>
      <c r="F23" s="34">
        <v>37</v>
      </c>
      <c r="H23" s="20" t="str">
        <f t="shared" si="0"/>
        <v xml:space="preserve">Paul Dirac </v>
      </c>
      <c r="I23" s="31">
        <f t="shared" si="1"/>
        <v>25085.640818705906</v>
      </c>
      <c r="J23" s="29">
        <f>100*((25-M23)/21)*((25-N23)/21)*((25-O23)/21)*((25-P23)/21)*((25-Q23)/21)*((25-L23)/21)</f>
        <v>100</v>
      </c>
      <c r="L23" s="20">
        <v>4</v>
      </c>
      <c r="M23" s="20">
        <v>4</v>
      </c>
      <c r="N23" s="20">
        <v>4</v>
      </c>
      <c r="O23" s="20">
        <v>4</v>
      </c>
      <c r="P23" s="20">
        <v>4</v>
      </c>
      <c r="Q23" s="20">
        <v>4</v>
      </c>
      <c r="R23" s="34">
        <f>IFERROR(VLOOKUP(A23,Selecionados!$B$2:$C$101,2,FALSE),"")</f>
        <v>48</v>
      </c>
      <c r="S23" s="33" t="str">
        <f>IFERROR(VLOOKUP(A23,Selecionados!$B$2:$D$101,3,FALSE),"")</f>
        <v>Niobo</v>
      </c>
      <c r="T23" s="32">
        <f>I23*(Selecionados!$Q$4/100)</f>
        <v>832.84327518103362</v>
      </c>
      <c r="U23" s="32">
        <f>I23*Selecionados!$I$4+(Selecionados!$K$6/100)*I23*Selecionados!$K$4+(Selecionados!$M$6/100)*I23*Selecionados!$M$6+(Selecionados!$P$6/100)*I23*Selecionados!$P$4</f>
        <v>27445.489875471278</v>
      </c>
    </row>
    <row r="24" spans="1:21" x14ac:dyDescent="0.25">
      <c r="A24" t="s">
        <v>35</v>
      </c>
      <c r="B24" t="s">
        <v>11</v>
      </c>
      <c r="C24">
        <v>1</v>
      </c>
      <c r="D24" s="34">
        <v>14</v>
      </c>
      <c r="E24" s="34">
        <v>15</v>
      </c>
      <c r="F24" s="34">
        <v>29</v>
      </c>
      <c r="H24" s="20" t="str">
        <f t="shared" si="0"/>
        <v xml:space="preserve">Louis-VP-Raymond de Broglie </v>
      </c>
      <c r="I24" s="31">
        <f t="shared" si="1"/>
        <v>28633.839480447656</v>
      </c>
      <c r="J24" s="29">
        <f>100*((25-M24)/21)*((25-N24)/21)*((25-O24)/21)*((25-P24)/21)*((25-Q24)/21)*((25-L24)/21)</f>
        <v>100</v>
      </c>
      <c r="L24" s="20">
        <v>4</v>
      </c>
      <c r="M24" s="20">
        <v>4</v>
      </c>
      <c r="N24" s="20">
        <v>4</v>
      </c>
      <c r="O24" s="20">
        <v>4</v>
      </c>
      <c r="P24" s="20">
        <v>4</v>
      </c>
      <c r="Q24" s="20">
        <v>4</v>
      </c>
      <c r="R24" s="34" t="str">
        <f>IFERROR(VLOOKUP(A24,Selecionados!$B$2:$C$101,2,FALSE),"")</f>
        <v/>
      </c>
      <c r="S24" s="33" t="str">
        <f>IFERROR(VLOOKUP(A24,Selecionados!$B$2:$D$101,3,FALSE),"")</f>
        <v/>
      </c>
      <c r="T24" s="32">
        <f>I24*(Selecionados!$Q$4/100)</f>
        <v>950.64347075085936</v>
      </c>
      <c r="U24" s="32">
        <f>I24*Selecionados!$I$4+(Selecionados!$K$6/100)*I24*Selecionados!$K$4+(Selecionados!$M$6/100)*I24*Selecionados!$M$6+(Selecionados!$P$6/100)*I24*Selecionados!$P$4</f>
        <v>31327.473642630139</v>
      </c>
    </row>
    <row r="25" spans="1:21" x14ac:dyDescent="0.25">
      <c r="A25" t="s">
        <v>36</v>
      </c>
      <c r="B25" t="s">
        <v>16</v>
      </c>
      <c r="C25">
        <v>3</v>
      </c>
      <c r="D25" s="34">
        <v>12</v>
      </c>
      <c r="E25" s="34">
        <v>9</v>
      </c>
      <c r="F25" s="34">
        <v>32</v>
      </c>
      <c r="H25" s="20" t="str">
        <f t="shared" si="0"/>
        <v xml:space="preserve">Arnold Sommerfeld </v>
      </c>
      <c r="I25" s="31">
        <f t="shared" si="1"/>
        <v>27048.704789258158</v>
      </c>
      <c r="J25" s="29">
        <f>100*((25-M25)/21)*((25-N25)/21)*((25-O25)/21)*((25-P25)/21)*((25-Q25)/21)*((25-L25)/21)</f>
        <v>100</v>
      </c>
      <c r="L25" s="20">
        <v>4</v>
      </c>
      <c r="M25" s="20">
        <v>4</v>
      </c>
      <c r="N25" s="20">
        <v>4</v>
      </c>
      <c r="O25" s="20">
        <v>4</v>
      </c>
      <c r="P25" s="20">
        <v>4</v>
      </c>
      <c r="Q25" s="20">
        <v>4</v>
      </c>
      <c r="R25" s="34">
        <f>IFERROR(VLOOKUP(A25,Selecionados!$B$2:$C$101,2,FALSE),"")</f>
        <v>38</v>
      </c>
      <c r="S25" s="33" t="str">
        <f>IFERROR(VLOOKUP(A25,Selecionados!$B$2:$D$101,3,FALSE),"")</f>
        <v>Urano</v>
      </c>
      <c r="T25" s="32">
        <f>I25*(Selecionados!$Q$4/100)</f>
        <v>898.01699900336826</v>
      </c>
      <c r="U25" s="32">
        <f>I25*Selecionados!$I$4+(Selecionados!$K$6/100)*I25*Selecionados!$K$4+(Selecionados!$M$6/100)*I25*Selecionados!$M$6+(Selecionados!$P$6/100)*I25*Selecionados!$P$4</f>
        <v>29593.222624977883</v>
      </c>
    </row>
    <row r="26" spans="1:21" x14ac:dyDescent="0.25">
      <c r="A26" t="s">
        <v>37</v>
      </c>
      <c r="B26" t="s">
        <v>38</v>
      </c>
      <c r="C26">
        <v>2</v>
      </c>
      <c r="D26" s="34">
        <v>14</v>
      </c>
      <c r="E26" s="34">
        <v>13</v>
      </c>
      <c r="F26" s="34">
        <v>39</v>
      </c>
      <c r="H26" s="20" t="str">
        <f t="shared" si="0"/>
        <v xml:space="preserve">Demócrito de Abdera </v>
      </c>
      <c r="I26" s="31">
        <f t="shared" si="1"/>
        <v>28515.043843762109</v>
      </c>
      <c r="J26" s="29">
        <f>100*((25-M26)/21)*((25-N26)/21)*((25-O26)/21)*((25-P26)/21)*((25-Q26)/21)*((25-L26)/21)</f>
        <v>100</v>
      </c>
      <c r="L26" s="20">
        <v>4</v>
      </c>
      <c r="M26" s="20">
        <v>4</v>
      </c>
      <c r="N26" s="20">
        <v>4</v>
      </c>
      <c r="O26" s="20">
        <v>4</v>
      </c>
      <c r="P26" s="20">
        <v>4</v>
      </c>
      <c r="Q26" s="20">
        <v>4</v>
      </c>
      <c r="R26" s="34">
        <f>IFERROR(VLOOKUP(A26,Selecionados!$B$2:$C$101,2,FALSE),"")</f>
        <v>62</v>
      </c>
      <c r="S26" s="33" t="str">
        <f>IFERROR(VLOOKUP(A26,Selecionados!$B$2:$D$101,3,FALSE),"")</f>
        <v>Hidrargiro</v>
      </c>
      <c r="T26" s="32">
        <f>I26*(Selecionados!$Q$4/100)</f>
        <v>946.69945561289921</v>
      </c>
      <c r="U26" s="32">
        <f>I26*Selecionados!$I$4+(Selecionados!$K$6/100)*I26*Selecionados!$K$4+(Selecionados!$M$6/100)*I26*Selecionados!$M$6+(Selecionados!$P$6/100)*I26*Selecionados!$P$4</f>
        <v>31197.502697599619</v>
      </c>
    </row>
    <row r="27" spans="1:21" x14ac:dyDescent="0.25">
      <c r="A27" t="s">
        <v>39</v>
      </c>
      <c r="B27" t="s">
        <v>40</v>
      </c>
      <c r="C27">
        <v>3</v>
      </c>
      <c r="D27" s="34">
        <v>15</v>
      </c>
      <c r="E27" s="34">
        <v>8</v>
      </c>
      <c r="F27" s="34">
        <v>34</v>
      </c>
      <c r="H27" s="20" t="str">
        <f t="shared" si="0"/>
        <v xml:space="preserve">James C. Maxwell </v>
      </c>
      <c r="I27" s="31">
        <f t="shared" si="1"/>
        <v>27621.882918316722</v>
      </c>
      <c r="J27" s="29">
        <f>100*((25-M27)/21)*((25-N27)/21)*((25-O27)/21)*((25-P27)/21)*((25-Q27)/21)*((25-L27)/21)</f>
        <v>100</v>
      </c>
      <c r="L27" s="20">
        <v>4</v>
      </c>
      <c r="M27" s="20">
        <v>4</v>
      </c>
      <c r="N27" s="20">
        <v>4</v>
      </c>
      <c r="O27" s="20">
        <v>4</v>
      </c>
      <c r="P27" s="20">
        <v>4</v>
      </c>
      <c r="Q27" s="20">
        <v>4</v>
      </c>
      <c r="R27" s="34">
        <f>IFERROR(VLOOKUP(A27,Selecionados!$B$2:$C$101,2,FALSE),"")</f>
        <v>18</v>
      </c>
      <c r="S27" s="33" t="str">
        <f>IFERROR(VLOOKUP(A27,Selecionados!$B$2:$D$101,3,FALSE),"")</f>
        <v>Byeta</v>
      </c>
      <c r="T27" s="32">
        <f>I27*(Selecionados!$Q$4/100)</f>
        <v>917.04651288811249</v>
      </c>
      <c r="U27" s="32">
        <f>I27*Selecionados!$I$4+(Selecionados!$K$6/100)*I27*Selecionados!$K$4+(Selecionados!$M$6/100)*I27*Selecionados!$M$6+(Selecionados!$P$6/100)*I27*Selecionados!$P$4</f>
        <v>30220.32059913798</v>
      </c>
    </row>
    <row r="28" spans="1:21" x14ac:dyDescent="0.25">
      <c r="A28" t="s">
        <v>41</v>
      </c>
      <c r="B28" t="s">
        <v>14</v>
      </c>
      <c r="C28">
        <v>2</v>
      </c>
      <c r="D28" s="34">
        <v>12</v>
      </c>
      <c r="E28" s="34">
        <v>13</v>
      </c>
      <c r="F28" s="34">
        <v>33</v>
      </c>
      <c r="H28" s="20" t="str">
        <f t="shared" si="0"/>
        <v xml:space="preserve">Henry Moseley </v>
      </c>
      <c r="I28" s="31">
        <f t="shared" si="1"/>
        <v>27869.069960965506</v>
      </c>
      <c r="J28" s="29">
        <f>100*((25-M28)/21)*((25-N28)/21)*((25-O28)/21)*((25-P28)/21)*((25-Q28)/21)*((25-L28)/21)</f>
        <v>100</v>
      </c>
      <c r="L28" s="20">
        <v>4</v>
      </c>
      <c r="M28" s="20">
        <v>4</v>
      </c>
      <c r="N28" s="20">
        <v>4</v>
      </c>
      <c r="O28" s="20">
        <v>4</v>
      </c>
      <c r="P28" s="20">
        <v>4</v>
      </c>
      <c r="Q28" s="20">
        <v>4</v>
      </c>
      <c r="R28" s="34">
        <f>IFERROR(VLOOKUP(A28,Selecionados!$B$2:$C$101,2,FALSE),"")</f>
        <v>78</v>
      </c>
      <c r="S28" s="33" t="str">
        <f>IFERROR(VLOOKUP(A28,Selecionados!$B$2:$D$101,3,FALSE),"")</f>
        <v>Hidra</v>
      </c>
      <c r="T28" s="32">
        <f>I28*(Selecionados!$Q$4/100)</f>
        <v>925.25312270405209</v>
      </c>
      <c r="U28" s="32">
        <f>I28*Selecionados!$I$4+(Selecionados!$K$6/100)*I28*Selecionados!$K$4+(Selecionados!$M$6/100)*I28*Selecionados!$M$6+(Selecionados!$P$6/100)*I28*Selecionados!$P$4</f>
        <v>30490.760948874075</v>
      </c>
    </row>
    <row r="29" spans="1:21" x14ac:dyDescent="0.25">
      <c r="A29" t="s">
        <v>42</v>
      </c>
      <c r="B29" t="s">
        <v>14</v>
      </c>
      <c r="C29">
        <v>3</v>
      </c>
      <c r="D29" s="34">
        <v>10</v>
      </c>
      <c r="E29" s="34">
        <v>11</v>
      </c>
      <c r="F29" s="34">
        <v>28</v>
      </c>
      <c r="H29" s="20" t="str">
        <f t="shared" si="0"/>
        <v xml:space="preserve">Michael Faraday </v>
      </c>
      <c r="I29" s="31">
        <f t="shared" si="1"/>
        <v>26795.151331874469</v>
      </c>
      <c r="J29" s="29">
        <f>100*((25-M29)/21)*((25-N29)/21)*((25-O29)/21)*((25-P29)/21)*((25-Q29)/21)*((25-L29)/21)</f>
        <v>100</v>
      </c>
      <c r="L29" s="20">
        <v>4</v>
      </c>
      <c r="M29" s="20">
        <v>4</v>
      </c>
      <c r="N29" s="20">
        <v>4</v>
      </c>
      <c r="O29" s="20">
        <v>4</v>
      </c>
      <c r="P29" s="20">
        <v>4</v>
      </c>
      <c r="Q29" s="20">
        <v>4</v>
      </c>
      <c r="R29" s="34">
        <f>IFERROR(VLOOKUP(A29,Selecionados!$B$2:$C$101,2,FALSE),"")</f>
        <v>17</v>
      </c>
      <c r="S29" s="33" t="str">
        <f>IFERROR(VLOOKUP(A29,Selecionados!$B$2:$D$101,3,FALSE),"")</f>
        <v>Ω</v>
      </c>
      <c r="T29" s="32">
        <f>I29*(Selecionados!$Q$4/100)</f>
        <v>889.59902421822983</v>
      </c>
      <c r="U29" s="32">
        <f>I29*Selecionados!$I$4+(Selecionados!$K$6/100)*I29*Selecionados!$K$4+(Selecionados!$M$6/100)*I29*Selecionados!$M$6+(Selecionados!$P$6/100)*I29*Selecionados!$P$4</f>
        <v>29315.816961004344</v>
      </c>
    </row>
    <row r="30" spans="1:21" x14ac:dyDescent="0.25">
      <c r="A30" t="s">
        <v>43</v>
      </c>
      <c r="B30" t="s">
        <v>12</v>
      </c>
      <c r="C30">
        <v>1</v>
      </c>
      <c r="D30" s="34">
        <v>10</v>
      </c>
      <c r="E30" s="34">
        <v>15</v>
      </c>
      <c r="F30" s="34">
        <v>34</v>
      </c>
      <c r="H30" s="20" t="str">
        <f t="shared" si="0"/>
        <v xml:space="preserve">Hans Christian Ørsted </v>
      </c>
      <c r="I30" s="31">
        <f t="shared" si="1"/>
        <v>27642.314066194554</v>
      </c>
      <c r="J30" s="29">
        <f>100*((25-M30)/21)*((25-N30)/21)*((25-O30)/21)*((25-P30)/21)*((25-Q30)/21)*((25-L30)/21)</f>
        <v>100</v>
      </c>
      <c r="L30" s="20">
        <v>4</v>
      </c>
      <c r="M30" s="20">
        <v>4</v>
      </c>
      <c r="N30" s="20">
        <v>4</v>
      </c>
      <c r="O30" s="20">
        <v>4</v>
      </c>
      <c r="P30" s="20">
        <v>4</v>
      </c>
      <c r="Q30" s="20">
        <v>4</v>
      </c>
      <c r="R30" s="34">
        <f>IFERROR(VLOOKUP(A30,Selecionados!$B$2:$C$101,2,FALSE),"")</f>
        <v>10</v>
      </c>
      <c r="S30" s="33" t="str">
        <f>IFERROR(VLOOKUP(A30,Selecionados!$B$2:$D$101,3,FALSE),"")</f>
        <v>Hássio</v>
      </c>
      <c r="T30" s="32">
        <f>I30*(Selecionados!$Q$4/100)</f>
        <v>917.72482699765658</v>
      </c>
      <c r="U30" s="32">
        <f>I30*Selecionados!$I$4+(Selecionados!$K$6/100)*I30*Selecionados!$K$4+(Selecionados!$M$6/100)*I30*Selecionados!$M$6+(Selecionados!$P$6/100)*I30*Selecionados!$P$4</f>
        <v>30242.673739975711</v>
      </c>
    </row>
    <row r="31" spans="1:21" x14ac:dyDescent="0.25">
      <c r="A31" t="s">
        <v>44</v>
      </c>
      <c r="B31" t="s">
        <v>11</v>
      </c>
      <c r="C31">
        <v>2</v>
      </c>
      <c r="D31" s="34">
        <v>13</v>
      </c>
      <c r="E31" s="34">
        <v>12</v>
      </c>
      <c r="F31" s="34">
        <v>32</v>
      </c>
      <c r="H31" s="20" t="str">
        <f t="shared" si="0"/>
        <v xml:space="preserve">André-Marie Ampère </v>
      </c>
      <c r="I31" s="31">
        <f t="shared" si="1"/>
        <v>27933.930477389767</v>
      </c>
      <c r="J31" s="29">
        <f>100*((25-M31)/21)*((25-N31)/21)*((25-O31)/21)*((25-P31)/21)*((25-Q31)/21)*((25-L31)/21)</f>
        <v>100</v>
      </c>
      <c r="L31" s="20">
        <v>4</v>
      </c>
      <c r="M31" s="20">
        <v>4</v>
      </c>
      <c r="N31" s="20">
        <v>4</v>
      </c>
      <c r="O31" s="20">
        <v>4</v>
      </c>
      <c r="P31" s="20">
        <v>4</v>
      </c>
      <c r="Q31" s="20">
        <v>4</v>
      </c>
      <c r="R31" s="34">
        <f>IFERROR(VLOOKUP(A31,Selecionados!$B$2:$C$101,2,FALSE),"")</f>
        <v>57</v>
      </c>
      <c r="S31" s="33" t="str">
        <f>IFERROR(VLOOKUP(A31,Selecionados!$B$2:$D$101,3,FALSE),"")</f>
        <v>Astato</v>
      </c>
      <c r="T31" s="32">
        <f>I31*(Selecionados!$Q$4/100)</f>
        <v>927.40649184933761</v>
      </c>
      <c r="U31" s="32">
        <f>I31*Selecionados!$I$4+(Selecionados!$K$6/100)*I31*Selecionados!$K$4+(Selecionados!$M$6/100)*I31*Selecionados!$M$6+(Selecionados!$P$6/100)*I31*Selecionados!$P$4</f>
        <v>30561.723004804993</v>
      </c>
    </row>
    <row r="32" spans="1:21" x14ac:dyDescent="0.25">
      <c r="A32" t="s">
        <v>45</v>
      </c>
      <c r="B32" t="s">
        <v>46</v>
      </c>
      <c r="C32">
        <v>2</v>
      </c>
      <c r="D32" s="34">
        <v>13</v>
      </c>
      <c r="E32" s="34">
        <v>13</v>
      </c>
      <c r="F32" s="34">
        <v>31</v>
      </c>
      <c r="H32" s="20" t="str">
        <f t="shared" si="0"/>
        <v xml:space="preserve">Alessandro G. A. A. Volta </v>
      </c>
      <c r="I32" s="31">
        <f t="shared" si="1"/>
        <v>28092.060011248701</v>
      </c>
      <c r="J32" s="29">
        <f>100*((25-M32)/21)*((25-N32)/21)*((25-O32)/21)*((25-P32)/21)*((25-Q32)/21)*((25-L32)/21)</f>
        <v>100</v>
      </c>
      <c r="L32" s="20">
        <v>4</v>
      </c>
      <c r="M32" s="20">
        <v>4</v>
      </c>
      <c r="N32" s="20">
        <v>4</v>
      </c>
      <c r="O32" s="20">
        <v>4</v>
      </c>
      <c r="P32" s="20">
        <v>4</v>
      </c>
      <c r="Q32" s="20">
        <v>4</v>
      </c>
      <c r="R32" s="34" t="str">
        <f>IFERROR(VLOOKUP(A32,Selecionados!$B$2:$C$101,2,FALSE),"")</f>
        <v/>
      </c>
      <c r="S32" s="33" t="str">
        <f>IFERROR(VLOOKUP(A32,Selecionados!$B$2:$D$101,3,FALSE),"")</f>
        <v/>
      </c>
      <c r="T32" s="32">
        <f>I32*(Selecionados!$Q$4/100)</f>
        <v>932.6563923734542</v>
      </c>
      <c r="U32" s="32">
        <f>I32*Selecionados!$I$4+(Selecionados!$K$6/100)*I32*Selecionados!$K$4+(Selecionados!$M$6/100)*I32*Selecionados!$M$6+(Selecionados!$P$6/100)*I32*Selecionados!$P$4</f>
        <v>30734.728053864859</v>
      </c>
    </row>
    <row r="33" spans="1:21" x14ac:dyDescent="0.25">
      <c r="A33" t="s">
        <v>47</v>
      </c>
      <c r="B33" t="s">
        <v>10</v>
      </c>
      <c r="C33">
        <v>2</v>
      </c>
      <c r="D33" s="34">
        <v>16</v>
      </c>
      <c r="E33" s="34">
        <v>12</v>
      </c>
      <c r="F33" s="34">
        <v>27</v>
      </c>
      <c r="H33" s="20" t="str">
        <f t="shared" si="0"/>
        <v xml:space="preserve">Ariabatta de Patná </v>
      </c>
      <c r="I33" s="31">
        <f t="shared" si="1"/>
        <v>28545.221290895119</v>
      </c>
      <c r="J33" s="29">
        <f>100*((25-M33)/21)*((25-N33)/21)*((25-O33)/21)*((25-P33)/21)*((25-Q33)/21)*((25-L33)/21)</f>
        <v>100</v>
      </c>
      <c r="L33" s="20">
        <v>4</v>
      </c>
      <c r="M33" s="20">
        <v>4</v>
      </c>
      <c r="N33" s="20">
        <v>4</v>
      </c>
      <c r="O33" s="20">
        <v>4</v>
      </c>
      <c r="P33" s="20">
        <v>4</v>
      </c>
      <c r="Q33" s="20">
        <v>4</v>
      </c>
      <c r="R33" s="34">
        <f>IFERROR(VLOOKUP(A33,Selecionados!$B$2:$C$101,2,FALSE),"")</f>
        <v>91</v>
      </c>
      <c r="S33" s="33" t="str">
        <f>IFERROR(VLOOKUP(A33,Selecionados!$B$2:$D$101,3,FALSE),"")</f>
        <v>Holm</v>
      </c>
      <c r="T33" s="32">
        <f>I33*(Selecionados!$Q$4/100)</f>
        <v>947.70134685771518</v>
      </c>
      <c r="U33" s="32">
        <f>I33*Selecionados!$I$4+(Selecionados!$K$6/100)*I33*Selecionados!$K$4+(Selecionados!$M$6/100)*I33*Selecionados!$M$6+(Selecionados!$P$6/100)*I33*Selecionados!$P$4</f>
        <v>31230.518988701857</v>
      </c>
    </row>
    <row r="34" spans="1:21" x14ac:dyDescent="0.25">
      <c r="A34" t="s">
        <v>48</v>
      </c>
      <c r="B34" t="s">
        <v>10</v>
      </c>
      <c r="C34">
        <v>2</v>
      </c>
      <c r="D34" s="34">
        <v>12</v>
      </c>
      <c r="E34" s="34">
        <v>8</v>
      </c>
      <c r="F34" s="34">
        <v>29</v>
      </c>
      <c r="H34" s="20" t="str">
        <f t="shared" si="0"/>
        <v xml:space="preserve">Šrīnivāsa Rāmānudžans </v>
      </c>
      <c r="I34" s="31">
        <f t="shared" si="1"/>
        <v>26739.829721011167</v>
      </c>
      <c r="J34" s="29">
        <f>100*((25-M34)/21)*((25-N34)/21)*((25-O34)/21)*((25-P34)/21)*((25-Q34)/21)*((25-L34)/21)</f>
        <v>100</v>
      </c>
      <c r="L34" s="20">
        <v>4</v>
      </c>
      <c r="M34" s="20">
        <v>4</v>
      </c>
      <c r="N34" s="20">
        <v>4</v>
      </c>
      <c r="O34" s="20">
        <v>4</v>
      </c>
      <c r="P34" s="20">
        <v>4</v>
      </c>
      <c r="Q34" s="20">
        <v>4</v>
      </c>
      <c r="R34" s="34">
        <f>IFERROR(VLOOKUP(A34,Selecionados!$B$2:$C$101,2,FALSE),"")</f>
        <v>45</v>
      </c>
      <c r="S34" s="33" t="str">
        <f>IFERROR(VLOOKUP(A34,Selecionados!$B$2:$D$101,3,FALSE),"")</f>
        <v>Osmi</v>
      </c>
      <c r="T34" s="32">
        <f>I34*(Selecionados!$Q$4/100)</f>
        <v>887.76234673756812</v>
      </c>
      <c r="U34" s="32">
        <f>I34*Selecionados!$I$4+(Selecionados!$K$6/100)*I34*Selecionados!$K$4+(Selecionados!$M$6/100)*I34*Selecionados!$M$6+(Selecionados!$P$6/100)*I34*Selecionados!$P$4</f>
        <v>29255.29115176485</v>
      </c>
    </row>
    <row r="35" spans="1:21" x14ac:dyDescent="0.25">
      <c r="A35" t="s">
        <v>49</v>
      </c>
      <c r="B35" t="s">
        <v>10</v>
      </c>
      <c r="C35">
        <v>2</v>
      </c>
      <c r="D35" s="34">
        <v>18</v>
      </c>
      <c r="E35" s="34">
        <v>11</v>
      </c>
      <c r="F35" s="34">
        <v>34</v>
      </c>
      <c r="H35" s="20" t="str">
        <f t="shared" si="0"/>
        <v xml:space="preserve">Mādhava de Sangamagrama </v>
      </c>
      <c r="I35" s="31">
        <f t="shared" si="1"/>
        <v>28959.349585300661</v>
      </c>
      <c r="J35" s="29">
        <f>100*((25-M35)/21)*((25-N35)/21)*((25-O35)/21)*((25-P35)/21)*((25-Q35)/21)*((25-L35)/21)</f>
        <v>100</v>
      </c>
      <c r="L35" s="20">
        <v>4</v>
      </c>
      <c r="M35" s="20">
        <v>4</v>
      </c>
      <c r="N35" s="20">
        <v>4</v>
      </c>
      <c r="O35" s="20">
        <v>4</v>
      </c>
      <c r="P35" s="20">
        <v>4</v>
      </c>
      <c r="Q35" s="20">
        <v>4</v>
      </c>
      <c r="R35" s="34" t="str">
        <f>IFERROR(VLOOKUP(A35,Selecionados!$B$2:$C$101,2,FALSE),"")</f>
        <v/>
      </c>
      <c r="S35" s="33" t="str">
        <f>IFERROR(VLOOKUP(A35,Selecionados!$B$2:$D$101,3,FALSE),"")</f>
        <v/>
      </c>
      <c r="T35" s="32">
        <f>I35*(Selecionados!$Q$4/100)</f>
        <v>961.45040623197917</v>
      </c>
      <c r="U35" s="32">
        <f>I35*Selecionados!$I$4+(Selecionados!$K$6/100)*I35*Selecionados!$K$4+(Selecionados!$M$6/100)*I35*Selecionados!$M$6+(Selecionados!$P$6/100)*I35*Selecionados!$P$4</f>
        <v>31683.605038741211</v>
      </c>
    </row>
    <row r="36" spans="1:21" x14ac:dyDescent="0.25">
      <c r="A36" t="s">
        <v>50</v>
      </c>
      <c r="B36" t="s">
        <v>14</v>
      </c>
      <c r="C36">
        <v>1</v>
      </c>
      <c r="D36" s="34">
        <v>16</v>
      </c>
      <c r="E36" s="34">
        <v>18</v>
      </c>
      <c r="F36" s="34">
        <v>35</v>
      </c>
      <c r="H36" s="20" t="str">
        <f t="shared" si="0"/>
        <v xml:space="preserve">Humphry Davy </v>
      </c>
      <c r="I36" s="31">
        <f t="shared" si="1"/>
        <v>29693.791346797025</v>
      </c>
      <c r="J36" s="29">
        <f>100*((25-M36)/21)*((25-N36)/21)*((25-O36)/21)*((25-P36)/21)*((25-Q36)/21)*((25-L36)/21)</f>
        <v>100</v>
      </c>
      <c r="L36" s="20">
        <v>4</v>
      </c>
      <c r="M36" s="20">
        <v>4</v>
      </c>
      <c r="N36" s="20">
        <v>4</v>
      </c>
      <c r="O36" s="20">
        <v>4</v>
      </c>
      <c r="P36" s="20">
        <v>4</v>
      </c>
      <c r="Q36" s="20">
        <v>4</v>
      </c>
      <c r="R36" s="34">
        <f>IFERROR(VLOOKUP(A36,Selecionados!$B$2:$C$101,2,FALSE),"")</f>
        <v>70</v>
      </c>
      <c r="S36" s="33" t="str">
        <f>IFERROR(VLOOKUP(A36,Selecionados!$B$2:$D$101,3,FALSE),"")</f>
        <v>Phi</v>
      </c>
      <c r="T36" s="32">
        <f>I36*(Selecionados!$Q$4/100)</f>
        <v>985.83387271365837</v>
      </c>
      <c r="U36" s="32">
        <f>I36*Selecionados!$I$4+(Selecionados!$K$6/100)*I36*Selecionados!$K$4+(Selecionados!$M$6/100)*I36*Selecionados!$M$6+(Selecionados!$P$6/100)*I36*Selecionados!$P$4</f>
        <v>32487.136990543735</v>
      </c>
    </row>
    <row r="37" spans="1:21" x14ac:dyDescent="0.25">
      <c r="A37" t="s">
        <v>51</v>
      </c>
      <c r="B37" t="s">
        <v>52</v>
      </c>
      <c r="C37">
        <v>2</v>
      </c>
      <c r="D37" s="34">
        <v>17</v>
      </c>
      <c r="E37" s="34">
        <v>10</v>
      </c>
      <c r="F37" s="34">
        <v>29</v>
      </c>
      <c r="H37" s="20" t="str">
        <f t="shared" si="0"/>
        <v xml:space="preserve">Nikola Tesla </v>
      </c>
      <c r="I37" s="31">
        <f t="shared" si="1"/>
        <v>28423.511601193251</v>
      </c>
      <c r="J37" s="29">
        <f>100*((25-M37)/21)*((25-N37)/21)*((25-O37)/21)*((25-P37)/21)*((25-Q37)/21)*((25-L37)/21)</f>
        <v>100</v>
      </c>
      <c r="L37" s="20">
        <v>4</v>
      </c>
      <c r="M37" s="20">
        <v>4</v>
      </c>
      <c r="N37" s="20">
        <v>4</v>
      </c>
      <c r="O37" s="20">
        <v>4</v>
      </c>
      <c r="P37" s="20">
        <v>4</v>
      </c>
      <c r="Q37" s="20">
        <v>4</v>
      </c>
      <c r="R37" s="34" t="str">
        <f>IFERROR(VLOOKUP(A37,Selecionados!$B$2:$C$101,2,FALSE),"")</f>
        <v/>
      </c>
      <c r="S37" s="33" t="str">
        <f>IFERROR(VLOOKUP(A37,Selecionados!$B$2:$D$101,3,FALSE),"")</f>
        <v/>
      </c>
      <c r="T37" s="32">
        <f>I37*(Selecionados!$Q$4/100)</f>
        <v>943.66058515961322</v>
      </c>
      <c r="U37" s="32">
        <f>I37*Selecionados!$I$4+(Selecionados!$K$6/100)*I37*Selecionados!$K$4+(Selecionados!$M$6/100)*I37*Selecionados!$M$6+(Selecionados!$P$6/100)*I37*Selecionados!$P$4</f>
        <v>31097.359860713048</v>
      </c>
    </row>
    <row r="38" spans="1:21" x14ac:dyDescent="0.25">
      <c r="A38" t="s">
        <v>53</v>
      </c>
      <c r="B38" t="s">
        <v>16</v>
      </c>
      <c r="C38">
        <v>2</v>
      </c>
      <c r="D38" s="34">
        <v>13</v>
      </c>
      <c r="E38" s="34">
        <v>17</v>
      </c>
      <c r="F38" s="34">
        <v>29</v>
      </c>
      <c r="H38" s="20" t="str">
        <f t="shared" si="0"/>
        <v xml:space="preserve">Heinrich Hertz </v>
      </c>
      <c r="I38" s="31">
        <f t="shared" si="1"/>
        <v>28682.558007834516</v>
      </c>
      <c r="J38" s="29">
        <f>100*((25-M38)/21)*((25-N38)/21)*((25-O38)/21)*((25-P38)/21)*((25-Q38)/21)*((25-L38)/21)</f>
        <v>100</v>
      </c>
      <c r="L38" s="20">
        <v>4</v>
      </c>
      <c r="M38" s="20">
        <v>4</v>
      </c>
      <c r="N38" s="20">
        <v>4</v>
      </c>
      <c r="O38" s="20">
        <v>4</v>
      </c>
      <c r="P38" s="20">
        <v>4</v>
      </c>
      <c r="Q38" s="20">
        <v>4</v>
      </c>
      <c r="R38" s="34">
        <f>IFERROR(VLOOKUP(A38,Selecionados!$B$2:$C$101,2,FALSE),"")</f>
        <v>24</v>
      </c>
      <c r="S38" s="33" t="str">
        <f>IFERROR(VLOOKUP(A38,Selecionados!$B$2:$D$101,3,FALSE),"")</f>
        <v>Tulío</v>
      </c>
      <c r="T38" s="32">
        <f>I38*(Selecionados!$Q$4/100)</f>
        <v>952.26092586010316</v>
      </c>
      <c r="U38" s="32">
        <f>I38*Selecionados!$I$4+(Selecionados!$K$6/100)*I38*Selecionados!$K$4+(Selecionados!$M$6/100)*I38*Selecionados!$M$6+(Selecionados!$P$6/100)*I38*Selecionados!$P$4</f>
        <v>31380.775205058108</v>
      </c>
    </row>
    <row r="39" spans="1:21" x14ac:dyDescent="0.25">
      <c r="A39" t="s">
        <v>54</v>
      </c>
      <c r="B39" t="s">
        <v>33</v>
      </c>
      <c r="C39">
        <v>1</v>
      </c>
      <c r="D39" s="34">
        <v>14</v>
      </c>
      <c r="E39" s="34">
        <v>15</v>
      </c>
      <c r="F39" s="34">
        <v>28</v>
      </c>
      <c r="H39" s="20" t="str">
        <f t="shared" si="0"/>
        <v xml:space="preserve">Thomas Edison </v>
      </c>
      <c r="I39" s="31">
        <f t="shared" si="1"/>
        <v>28608.836684104983</v>
      </c>
      <c r="J39" s="29">
        <f>100*((25-M39)/21)*((25-N39)/21)*((25-O39)/21)*((25-P39)/21)*((25-Q39)/21)*((25-L39)/21)</f>
        <v>100</v>
      </c>
      <c r="L39" s="20">
        <v>4</v>
      </c>
      <c r="M39" s="20">
        <v>4</v>
      </c>
      <c r="N39" s="20">
        <v>4</v>
      </c>
      <c r="O39" s="20">
        <v>4</v>
      </c>
      <c r="P39" s="20">
        <v>4</v>
      </c>
      <c r="Q39" s="20">
        <v>4</v>
      </c>
      <c r="R39" s="34">
        <f>IFERROR(VLOOKUP(A39,Selecionados!$B$2:$C$101,2,FALSE),"")</f>
        <v>32</v>
      </c>
      <c r="S39" s="33" t="str">
        <f>IFERROR(VLOOKUP(A39,Selecionados!$B$2:$D$101,3,FALSE),"")</f>
        <v>Berkelio</v>
      </c>
      <c r="T39" s="32">
        <f>I39*(Selecionados!$Q$4/100)</f>
        <v>949.8133779122827</v>
      </c>
      <c r="U39" s="32">
        <f>I39*Selecionados!$I$4+(Selecionados!$K$6/100)*I39*Selecionados!$K$4+(Selecionados!$M$6/100)*I39*Selecionados!$M$6+(Selecionados!$P$6/100)*I39*Selecionados!$P$4</f>
        <v>31300.118790551987</v>
      </c>
    </row>
    <row r="40" spans="1:21" x14ac:dyDescent="0.25">
      <c r="A40" t="s">
        <v>55</v>
      </c>
      <c r="B40" t="s">
        <v>16</v>
      </c>
      <c r="C40">
        <v>1</v>
      </c>
      <c r="D40" s="34">
        <v>13</v>
      </c>
      <c r="E40" s="34">
        <v>11</v>
      </c>
      <c r="F40" s="34">
        <v>34</v>
      </c>
      <c r="H40" s="20" t="str">
        <f t="shared" si="0"/>
        <v xml:space="preserve">Georg-Simon Ohm </v>
      </c>
      <c r="I40" s="31">
        <f t="shared" si="1"/>
        <v>27785.835264726971</v>
      </c>
      <c r="J40" s="29">
        <f>100*((25-M40)/21)*((25-N40)/21)*((25-O40)/21)*((25-P40)/21)*((25-Q40)/21)*((25-L40)/21)</f>
        <v>100</v>
      </c>
      <c r="L40" s="20">
        <v>4</v>
      </c>
      <c r="M40" s="20">
        <v>4</v>
      </c>
      <c r="N40" s="20">
        <v>4</v>
      </c>
      <c r="O40" s="20">
        <v>4</v>
      </c>
      <c r="P40" s="20">
        <v>4</v>
      </c>
      <c r="Q40" s="20">
        <v>4</v>
      </c>
      <c r="R40" s="34">
        <f>IFERROR(VLOOKUP(A40,Selecionados!$B$2:$C$101,2,FALSE),"")</f>
        <v>90</v>
      </c>
      <c r="S40" s="33" t="str">
        <f>IFERROR(VLOOKUP(A40,Selecionados!$B$2:$D$101,3,FALSE),"")</f>
        <v>Criptón</v>
      </c>
      <c r="T40" s="32">
        <f>I40*(Selecionados!$Q$4/100)</f>
        <v>922.48973078893277</v>
      </c>
      <c r="U40" s="32">
        <f>I40*Selecionados!$I$4+(Selecionados!$K$6/100)*I40*Selecionados!$K$4+(Selecionados!$M$6/100)*I40*Selecionados!$M$6+(Selecionados!$P$6/100)*I40*Selecionados!$P$4</f>
        <v>30399.696222666276</v>
      </c>
    </row>
    <row r="41" spans="1:21" x14ac:dyDescent="0.25">
      <c r="A41" t="s">
        <v>56</v>
      </c>
      <c r="B41" t="s">
        <v>11</v>
      </c>
      <c r="C41">
        <v>2</v>
      </c>
      <c r="D41" s="34">
        <v>15</v>
      </c>
      <c r="E41" s="34">
        <v>14</v>
      </c>
      <c r="F41" s="34">
        <v>27</v>
      </c>
      <c r="H41" s="20" t="str">
        <f t="shared" si="0"/>
        <v xml:space="preserve">Pierre Curie </v>
      </c>
      <c r="I41" s="31">
        <f t="shared" si="1"/>
        <v>28663.988944862504</v>
      </c>
      <c r="J41" s="29">
        <f>100*((25-M41)/21)*((25-N41)/21)*((25-O41)/21)*((25-P41)/21)*((25-Q41)/21)*((25-L41)/21)</f>
        <v>100</v>
      </c>
      <c r="L41" s="20">
        <v>4</v>
      </c>
      <c r="M41" s="20">
        <v>4</v>
      </c>
      <c r="N41" s="20">
        <v>4</v>
      </c>
      <c r="O41" s="20">
        <v>4</v>
      </c>
      <c r="P41" s="20">
        <v>4</v>
      </c>
      <c r="Q41" s="20">
        <v>4</v>
      </c>
      <c r="R41" s="34">
        <f>IFERROR(VLOOKUP(A41,Selecionados!$B$2:$C$101,2,FALSE),"")</f>
        <v>86</v>
      </c>
      <c r="S41" s="33" t="str">
        <f>IFERROR(VLOOKUP(A41,Selecionados!$B$2:$D$101,3,FALSE),"")</f>
        <v>Zirconium</v>
      </c>
      <c r="T41" s="32">
        <f>I41*(Selecionados!$Q$4/100)</f>
        <v>951.64443296943239</v>
      </c>
      <c r="U41" s="32">
        <f>I41*Selecionados!$I$4+(Selecionados!$K$6/100)*I41*Selecionados!$K$4+(Selecionados!$M$6/100)*I41*Selecionados!$M$6+(Selecionados!$P$6/100)*I41*Selecionados!$P$4</f>
        <v>31360.459318632144</v>
      </c>
    </row>
    <row r="42" spans="1:21" x14ac:dyDescent="0.25">
      <c r="A42" t="s">
        <v>57</v>
      </c>
      <c r="B42" t="s">
        <v>14</v>
      </c>
      <c r="C42">
        <v>1</v>
      </c>
      <c r="D42" s="34">
        <v>15</v>
      </c>
      <c r="E42" s="34">
        <v>15</v>
      </c>
      <c r="F42" s="34">
        <v>28</v>
      </c>
      <c r="H42" s="20" t="str">
        <f t="shared" si="0"/>
        <v xml:space="preserve">Ostwald Fenske </v>
      </c>
      <c r="I42" s="31">
        <f t="shared" si="1"/>
        <v>28852.701207574413</v>
      </c>
      <c r="J42" s="29">
        <f>100*((25-M42)/21)*((25-N42)/21)*((25-O42)/21)*((25-P42)/21)*((25-Q42)/21)*((25-L42)/21)</f>
        <v>100</v>
      </c>
      <c r="L42" s="20">
        <v>4</v>
      </c>
      <c r="M42" s="20">
        <v>4</v>
      </c>
      <c r="N42" s="20">
        <v>4</v>
      </c>
      <c r="O42" s="20">
        <v>4</v>
      </c>
      <c r="P42" s="20">
        <v>4</v>
      </c>
      <c r="Q42" s="20">
        <v>4</v>
      </c>
      <c r="R42" s="34">
        <f>IFERROR(VLOOKUP(A42,Selecionados!$B$2:$C$101,2,FALSE),"")</f>
        <v>71</v>
      </c>
      <c r="S42" s="33" t="str">
        <f>IFERROR(VLOOKUP(A42,Selecionados!$B$2:$D$101,3,FALSE),"")</f>
        <v>Lithium</v>
      </c>
      <c r="T42" s="32">
        <f>I42*(Selecionados!$Q$4/100)</f>
        <v>957.90968009146775</v>
      </c>
      <c r="U42" s="32">
        <f>I42*Selecionados!$I$4+(Selecionados!$K$6/100)*I42*Selecionados!$K$4+(Selecionados!$M$6/100)*I42*Selecionados!$M$6+(Selecionados!$P$6/100)*I42*Selecionados!$P$4</f>
        <v>31566.924066057491</v>
      </c>
    </row>
    <row r="43" spans="1:21" x14ac:dyDescent="0.25">
      <c r="A43" t="s">
        <v>58</v>
      </c>
      <c r="B43" t="s">
        <v>33</v>
      </c>
      <c r="C43">
        <v>2</v>
      </c>
      <c r="D43" s="34">
        <v>18</v>
      </c>
      <c r="E43" s="34">
        <v>10</v>
      </c>
      <c r="F43" s="34">
        <v>39</v>
      </c>
      <c r="H43" s="20" t="str">
        <f t="shared" si="0"/>
        <v xml:space="preserve">Day Underwood </v>
      </c>
      <c r="I43" s="31">
        <f t="shared" si="1"/>
        <v>28855.230226292115</v>
      </c>
      <c r="J43" s="29">
        <f>100*((25-M43)/21)*((25-N43)/21)*((25-O43)/21)*((25-P43)/21)*((25-Q43)/21)*((25-L43)/21)</f>
        <v>100</v>
      </c>
      <c r="L43" s="20">
        <v>4</v>
      </c>
      <c r="M43" s="20">
        <v>4</v>
      </c>
      <c r="N43" s="20">
        <v>4</v>
      </c>
      <c r="O43" s="20">
        <v>4</v>
      </c>
      <c r="P43" s="20">
        <v>4</v>
      </c>
      <c r="Q43" s="20">
        <v>4</v>
      </c>
      <c r="R43" s="34">
        <f>IFERROR(VLOOKUP(A43,Selecionados!$B$2:$C$101,2,FALSE),"")</f>
        <v>30</v>
      </c>
      <c r="S43" s="33" t="str">
        <f>IFERROR(VLOOKUP(A43,Selecionados!$B$2:$D$101,3,FALSE),"")</f>
        <v>Cúrio</v>
      </c>
      <c r="T43" s="32">
        <f>I43*(Selecionados!$Q$4/100)</f>
        <v>957.99364351289546</v>
      </c>
      <c r="U43" s="32">
        <f>I43*Selecionados!$I$4+(Selecionados!$K$6/100)*I43*Selecionados!$K$4+(Selecionados!$M$6/100)*I43*Selecionados!$M$6+(Selecionados!$P$6/100)*I43*Selecionados!$P$4</f>
        <v>31569.690993883378</v>
      </c>
    </row>
    <row r="44" spans="1:21" x14ac:dyDescent="0.25">
      <c r="A44" t="s">
        <v>59</v>
      </c>
      <c r="B44" t="s">
        <v>33</v>
      </c>
      <c r="C44">
        <v>1</v>
      </c>
      <c r="D44" s="34">
        <v>14</v>
      </c>
      <c r="E44" s="34">
        <v>13</v>
      </c>
      <c r="F44" s="34">
        <v>32</v>
      </c>
      <c r="H44" s="20" t="str">
        <f t="shared" si="0"/>
        <v xml:space="preserve">Edwin Richard Gilliland </v>
      </c>
      <c r="I44" s="31">
        <f t="shared" si="1"/>
        <v>28370.250511277678</v>
      </c>
      <c r="J44" s="29">
        <f>100*((25-M44)/21)*((25-N44)/21)*((25-O44)/21)*((25-P44)/21)*((25-Q44)/21)*((25-L44)/21)</f>
        <v>100</v>
      </c>
      <c r="L44" s="20">
        <v>4</v>
      </c>
      <c r="M44" s="20">
        <v>4</v>
      </c>
      <c r="N44" s="20">
        <v>4</v>
      </c>
      <c r="O44" s="20">
        <v>4</v>
      </c>
      <c r="P44" s="20">
        <v>4</v>
      </c>
      <c r="Q44" s="20">
        <v>4</v>
      </c>
      <c r="R44" s="34" t="str">
        <f>IFERROR(VLOOKUP(A44,Selecionados!$B$2:$C$101,2,FALSE),"")</f>
        <v/>
      </c>
      <c r="S44" s="33" t="str">
        <f>IFERROR(VLOOKUP(A44,Selecionados!$B$2:$D$101,3,FALSE),"")</f>
        <v/>
      </c>
      <c r="T44" s="32">
        <f>I44*(Selecionados!$Q$4/100)</f>
        <v>941.89231697441619</v>
      </c>
      <c r="U44" s="32">
        <f>I44*Selecionados!$I$4+(Selecionados!$K$6/100)*I44*Selecionados!$K$4+(Selecionados!$M$6/100)*I44*Selecionados!$M$6+(Selecionados!$P$6/100)*I44*Selecionados!$P$4</f>
        <v>31039.088409144457</v>
      </c>
    </row>
    <row r="45" spans="1:21" x14ac:dyDescent="0.25">
      <c r="A45" t="s">
        <v>60</v>
      </c>
      <c r="B45" t="s">
        <v>33</v>
      </c>
      <c r="C45">
        <v>3</v>
      </c>
      <c r="D45" s="34">
        <v>11</v>
      </c>
      <c r="E45" s="34">
        <v>11</v>
      </c>
      <c r="F45" s="34">
        <v>34</v>
      </c>
      <c r="H45" s="20" t="str">
        <f t="shared" si="0"/>
        <v xml:space="preserve">CG Kirkbride </v>
      </c>
      <c r="I45" s="31">
        <f t="shared" si="1"/>
        <v>27234.752536551448</v>
      </c>
      <c r="J45" s="29">
        <f>100*((25-M45)/21)*((25-N45)/21)*((25-O45)/21)*((25-P45)/21)*((25-Q45)/21)*((25-L45)/21)</f>
        <v>100</v>
      </c>
      <c r="L45" s="20">
        <v>4</v>
      </c>
      <c r="M45" s="20">
        <v>4</v>
      </c>
      <c r="N45" s="20">
        <v>4</v>
      </c>
      <c r="O45" s="20">
        <v>4</v>
      </c>
      <c r="P45" s="20">
        <v>4</v>
      </c>
      <c r="Q45" s="20">
        <v>4</v>
      </c>
      <c r="R45" s="34">
        <f>IFERROR(VLOOKUP(A45,Selecionados!$B$2:$C$101,2,FALSE),"")</f>
        <v>44</v>
      </c>
      <c r="S45" s="33" t="str">
        <f>IFERROR(VLOOKUP(A45,Selecionados!$B$2:$D$101,3,FALSE),"")</f>
        <v>Natrío</v>
      </c>
      <c r="T45" s="32">
        <f>I45*(Selecionados!$Q$4/100)</f>
        <v>904.19378421350541</v>
      </c>
      <c r="U45" s="32">
        <f>I45*Selecionados!$I$4+(Selecionados!$K$6/100)*I45*Selecionados!$K$4+(Selecionados!$M$6/100)*I45*Selecionados!$M$6+(Selecionados!$P$6/100)*I45*Selecionados!$P$4</f>
        <v>29796.772201470449</v>
      </c>
    </row>
    <row r="46" spans="1:21" x14ac:dyDescent="0.25">
      <c r="A46" t="s">
        <v>61</v>
      </c>
      <c r="B46" t="s">
        <v>46</v>
      </c>
      <c r="C46">
        <v>1</v>
      </c>
      <c r="D46" s="34">
        <v>13</v>
      </c>
      <c r="E46" s="34">
        <v>15</v>
      </c>
      <c r="F46" s="34">
        <v>34</v>
      </c>
      <c r="H46" s="20" t="str">
        <f t="shared" si="0"/>
        <v xml:space="preserve">Galileu Galilei </v>
      </c>
      <c r="I46" s="31">
        <f t="shared" si="1"/>
        <v>28493.275097176953</v>
      </c>
      <c r="J46" s="29">
        <f>100*((25-M46)/21)*((25-N46)/21)*((25-O46)/21)*((25-P46)/21)*((25-Q46)/21)*((25-L46)/21)</f>
        <v>100</v>
      </c>
      <c r="L46" s="20">
        <v>4</v>
      </c>
      <c r="M46" s="20">
        <v>4</v>
      </c>
      <c r="N46" s="20">
        <v>4</v>
      </c>
      <c r="O46" s="20">
        <v>4</v>
      </c>
      <c r="P46" s="20">
        <v>4</v>
      </c>
      <c r="Q46" s="20">
        <v>4</v>
      </c>
      <c r="R46" s="34">
        <f>IFERROR(VLOOKUP(A46,Selecionados!$B$2:$C$101,2,FALSE),"")</f>
        <v>35</v>
      </c>
      <c r="S46" s="33" t="str">
        <f>IFERROR(VLOOKUP(A46,Selecionados!$B$2:$D$101,3,FALSE),"")</f>
        <v>Yī 銥</v>
      </c>
      <c r="T46" s="32">
        <f>I46*(Selecionados!$Q$4/100)</f>
        <v>945.97673322627213</v>
      </c>
      <c r="U46" s="32">
        <f>I46*Selecionados!$I$4+(Selecionados!$K$6/100)*I46*Selecionados!$K$4+(Selecionados!$M$6/100)*I46*Selecionados!$M$6+(Selecionados!$P$6/100)*I46*Selecionados!$P$4</f>
        <v>31173.686127860685</v>
      </c>
    </row>
    <row r="47" spans="1:21" x14ac:dyDescent="0.25">
      <c r="A47" t="s">
        <v>62</v>
      </c>
      <c r="B47" t="s">
        <v>38</v>
      </c>
      <c r="C47">
        <v>1</v>
      </c>
      <c r="D47" s="34">
        <v>15</v>
      </c>
      <c r="E47" s="34">
        <v>18</v>
      </c>
      <c r="F47" s="34">
        <v>29</v>
      </c>
      <c r="H47" s="20" t="str">
        <f t="shared" si="0"/>
        <v xml:space="preserve">Arquimedes de Siracusa </v>
      </c>
      <c r="I47" s="31">
        <f t="shared" si="1"/>
        <v>29324.249402431818</v>
      </c>
      <c r="J47" s="29">
        <f>100*((25-M47)/21)*((25-N47)/21)*((25-O47)/21)*((25-P47)/21)*((25-Q47)/21)*((25-L47)/21)</f>
        <v>100</v>
      </c>
      <c r="L47" s="20">
        <v>4</v>
      </c>
      <c r="M47" s="20">
        <v>4</v>
      </c>
      <c r="N47" s="20">
        <v>4</v>
      </c>
      <c r="O47" s="20">
        <v>4</v>
      </c>
      <c r="P47" s="20">
        <v>4</v>
      </c>
      <c r="Q47" s="20">
        <v>4</v>
      </c>
      <c r="R47" s="34">
        <f>IFERROR(VLOOKUP(A47,Selecionados!$B$2:$C$101,2,FALSE),"")</f>
        <v>55</v>
      </c>
      <c r="S47" s="33" t="str">
        <f>IFERROR(VLOOKUP(A47,Selecionados!$B$2:$D$101,3,FALSE),"")</f>
        <v>Mendelevi</v>
      </c>
      <c r="T47" s="32">
        <f>I47*(Selecionados!$Q$4/100)</f>
        <v>973.56508016073349</v>
      </c>
      <c r="U47" s="32">
        <f>I47*Selecionados!$I$4+(Selecionados!$K$6/100)*I47*Selecionados!$K$4+(Selecionados!$M$6/100)*I47*Selecionados!$M$6+(Selecionados!$P$6/100)*I47*Selecionados!$P$4</f>
        <v>32082.831604608589</v>
      </c>
    </row>
    <row r="48" spans="1:21" x14ac:dyDescent="0.25">
      <c r="A48" t="s">
        <v>22</v>
      </c>
      <c r="B48" t="s">
        <v>18</v>
      </c>
      <c r="C48">
        <v>1</v>
      </c>
      <c r="D48" s="34">
        <v>15</v>
      </c>
      <c r="E48" s="34">
        <v>13</v>
      </c>
      <c r="F48" s="34">
        <v>30</v>
      </c>
      <c r="H48" s="20" t="str">
        <f t="shared" si="0"/>
        <v xml:space="preserve">Hans Stammreich </v>
      </c>
      <c r="I48" s="31">
        <f t="shared" si="1"/>
        <v>28567.647094731103</v>
      </c>
      <c r="J48" s="29">
        <f>100*((25-M48)/21)*((25-N48)/21)*((25-O48)/21)*((25-P48)/21)*((25-Q48)/21)*((25-L48)/21)</f>
        <v>100</v>
      </c>
      <c r="L48" s="20">
        <v>4</v>
      </c>
      <c r="M48" s="20">
        <v>4</v>
      </c>
      <c r="N48" s="20">
        <v>4</v>
      </c>
      <c r="O48" s="20">
        <v>4</v>
      </c>
      <c r="P48" s="20">
        <v>4</v>
      </c>
      <c r="Q48" s="20">
        <v>4</v>
      </c>
      <c r="R48" s="34">
        <f>IFERROR(VLOOKUP(A48,Selecionados!$B$2:$C$101,2,FALSE),"")</f>
        <v>88</v>
      </c>
      <c r="S48" s="33" t="str">
        <f>IFERROR(VLOOKUP(A48,Selecionados!$B$2:$D$101,3,FALSE),"")</f>
        <v>Tellurium</v>
      </c>
      <c r="T48" s="32">
        <f>I48*(Selecionados!$Q$4/100)</f>
        <v>948.44588354506982</v>
      </c>
      <c r="U48" s="32">
        <f>I48*Selecionados!$I$4+(Selecionados!$K$6/100)*I48*Selecionados!$K$4+(Selecionados!$M$6/100)*I48*Selecionados!$M$6+(Selecionados!$P$6/100)*I48*Selecionados!$P$4</f>
        <v>31255.054426188897</v>
      </c>
    </row>
    <row r="49" spans="1:21" x14ac:dyDescent="0.25">
      <c r="A49" t="s">
        <v>63</v>
      </c>
      <c r="B49" t="s">
        <v>38</v>
      </c>
      <c r="C49">
        <v>3</v>
      </c>
      <c r="D49" s="34">
        <v>14</v>
      </c>
      <c r="E49" s="34">
        <v>9</v>
      </c>
      <c r="F49" s="34">
        <v>33</v>
      </c>
      <c r="H49" s="20" t="str">
        <f t="shared" si="0"/>
        <v xml:space="preserve">Pitágoras de Samos </v>
      </c>
      <c r="I49" s="31">
        <f t="shared" si="1"/>
        <v>27594.461375563351</v>
      </c>
      <c r="J49" s="29">
        <f>100*((25-M49)/21)*((25-N49)/21)*((25-O49)/21)*((25-P49)/21)*((25-Q49)/21)*((25-L49)/21)</f>
        <v>100</v>
      </c>
      <c r="L49" s="20">
        <v>4</v>
      </c>
      <c r="M49" s="20">
        <v>4</v>
      </c>
      <c r="N49" s="20">
        <v>4</v>
      </c>
      <c r="O49" s="20">
        <v>4</v>
      </c>
      <c r="P49" s="20">
        <v>4</v>
      </c>
      <c r="Q49" s="20">
        <v>4</v>
      </c>
      <c r="R49" s="34">
        <f>IFERROR(VLOOKUP(A49,Selecionados!$B$2:$C$101,2,FALSE),"")</f>
        <v>89</v>
      </c>
      <c r="S49" s="33" t="str">
        <f>IFERROR(VLOOKUP(A49,Selecionados!$B$2:$D$101,3,FALSE),"")</f>
        <v>ታሊየም</v>
      </c>
      <c r="T49" s="32">
        <f>I49*(Selecionados!$Q$4/100)</f>
        <v>916.13611766870054</v>
      </c>
      <c r="U49" s="32">
        <f>I49*Selecionados!$I$4+(Selecionados!$K$6/100)*I49*Selecionados!$K$4+(Selecionados!$M$6/100)*I49*Selecionados!$M$6+(Selecionados!$P$6/100)*I49*Selecionados!$P$4</f>
        <v>30190.319465045115</v>
      </c>
    </row>
    <row r="50" spans="1:21" x14ac:dyDescent="0.25">
      <c r="A50" t="s">
        <v>64</v>
      </c>
      <c r="B50" t="s">
        <v>14</v>
      </c>
      <c r="C50">
        <v>2</v>
      </c>
      <c r="D50" s="34">
        <v>13</v>
      </c>
      <c r="E50" s="34">
        <v>12</v>
      </c>
      <c r="F50" s="34">
        <v>33</v>
      </c>
      <c r="H50" s="20" t="str">
        <f t="shared" si="0"/>
        <v xml:space="preserve">James Prescott Joule </v>
      </c>
      <c r="I50" s="31">
        <f t="shared" si="1"/>
        <v>27956.218495386282</v>
      </c>
      <c r="J50" s="29">
        <f>100*((25-M50)/21)*((25-N50)/21)*((25-O50)/21)*((25-P50)/21)*((25-Q50)/21)*((25-L50)/21)</f>
        <v>100</v>
      </c>
      <c r="L50" s="20">
        <v>4</v>
      </c>
      <c r="M50" s="20">
        <v>4</v>
      </c>
      <c r="N50" s="20">
        <v>4</v>
      </c>
      <c r="O50" s="20">
        <v>4</v>
      </c>
      <c r="P50" s="20">
        <v>4</v>
      </c>
      <c r="Q50" s="20">
        <v>4</v>
      </c>
      <c r="R50" s="34">
        <f>IFERROR(VLOOKUP(A50,Selecionados!$B$2:$C$101,2,FALSE),"")</f>
        <v>83</v>
      </c>
      <c r="S50" s="33" t="str">
        <f>IFERROR(VLOOKUP(A50,Selecionados!$B$2:$D$101,3,FALSE),"")</f>
        <v>Tinyisu تينييسو</v>
      </c>
      <c r="T50" s="32">
        <f>I50*(Selecionados!$Q$4/100)</f>
        <v>928.14645404682187</v>
      </c>
      <c r="U50" s="32">
        <f>I50*Selecionados!$I$4+(Selecionados!$K$6/100)*I50*Selecionados!$K$4+(Selecionados!$M$6/100)*I50*Selecionados!$M$6+(Selecionados!$P$6/100)*I50*Selecionados!$P$4</f>
        <v>30586.107694703427</v>
      </c>
    </row>
    <row r="51" spans="1:21" x14ac:dyDescent="0.25">
      <c r="A51" t="s">
        <v>65</v>
      </c>
      <c r="B51" t="s">
        <v>14</v>
      </c>
      <c r="C51">
        <v>2</v>
      </c>
      <c r="D51" s="34">
        <v>18</v>
      </c>
      <c r="E51" s="34">
        <v>10</v>
      </c>
      <c r="F51" s="34">
        <v>38</v>
      </c>
      <c r="H51" s="20" t="str">
        <f t="shared" si="0"/>
        <v xml:space="preserve">Charles Robert Darwin </v>
      </c>
      <c r="I51" s="31">
        <f t="shared" si="1"/>
        <v>28836.01333325122</v>
      </c>
      <c r="J51" s="29">
        <f>100*((25-M51)/21)*((25-N51)/21)*((25-O51)/21)*((25-P51)/21)*((25-Q51)/21)*((25-L51)/21)</f>
        <v>100</v>
      </c>
      <c r="L51" s="20">
        <v>4</v>
      </c>
      <c r="M51" s="20">
        <v>4</v>
      </c>
      <c r="N51" s="20">
        <v>4</v>
      </c>
      <c r="O51" s="20">
        <v>4</v>
      </c>
      <c r="P51" s="20">
        <v>4</v>
      </c>
      <c r="Q51" s="20">
        <v>4</v>
      </c>
      <c r="R51" s="34">
        <f>IFERROR(VLOOKUP(A51,Selecionados!$B$2:$C$101,2,FALSE),"")</f>
        <v>34</v>
      </c>
      <c r="S51" s="33" t="str">
        <f>IFERROR(VLOOKUP(A51,Selecionados!$B$2:$D$101,3,FALSE),"")</f>
        <v>Nobelium</v>
      </c>
      <c r="T51" s="32">
        <f>I51*(Selecionados!$Q$4/100)</f>
        <v>957.35564266393772</v>
      </c>
      <c r="U51" s="32">
        <f>I51*Selecionados!$I$4+(Selecionados!$K$6/100)*I51*Selecionados!$K$4+(Selecionados!$M$6/100)*I51*Selecionados!$M$6+(Selecionados!$P$6/100)*I51*Selecionados!$P$4</f>
        <v>31548.666334908008</v>
      </c>
    </row>
    <row r="52" spans="1:21" x14ac:dyDescent="0.25">
      <c r="A52" t="s">
        <v>66</v>
      </c>
      <c r="B52" t="s">
        <v>33</v>
      </c>
      <c r="C52">
        <v>1</v>
      </c>
      <c r="D52" s="34">
        <v>13</v>
      </c>
      <c r="E52" s="34">
        <v>15</v>
      </c>
      <c r="F52" s="34">
        <v>35</v>
      </c>
      <c r="H52" s="20" t="str">
        <f t="shared" si="0"/>
        <v xml:space="preserve">Thomas Davenport </v>
      </c>
      <c r="I52" s="31">
        <f t="shared" si="1"/>
        <v>28514.428221286307</v>
      </c>
      <c r="J52" s="29">
        <f>100*((25-M52)/21)*((25-N52)/21)*((25-O52)/21)*((25-P52)/21)*((25-Q52)/21)*((25-L52)/21)</f>
        <v>100</v>
      </c>
      <c r="L52" s="20">
        <v>4</v>
      </c>
      <c r="M52" s="20">
        <v>4</v>
      </c>
      <c r="N52" s="20">
        <v>4</v>
      </c>
      <c r="O52" s="20">
        <v>4</v>
      </c>
      <c r="P52" s="20">
        <v>4</v>
      </c>
      <c r="Q52" s="20">
        <v>4</v>
      </c>
      <c r="R52" s="34">
        <f>IFERROR(VLOOKUP(A52,Selecionados!$B$2:$C$101,2,FALSE),"")</f>
        <v>97</v>
      </c>
      <c r="S52" s="33" t="str">
        <f>IFERROR(VLOOKUP(A52,Selecionados!$B$2:$D$101,3,FALSE),"")</f>
        <v>Lúnqín 倫琴</v>
      </c>
      <c r="T52" s="32">
        <f>I52*(Selecionados!$Q$4/100)</f>
        <v>946.67901694670263</v>
      </c>
      <c r="U52" s="32">
        <f>I52*Selecionados!$I$4+(Selecionados!$K$6/100)*I52*Selecionados!$K$4+(Selecionados!$M$6/100)*I52*Selecionados!$M$6+(Selecionados!$P$6/100)*I52*Selecionados!$P$4</f>
        <v>31196.829162466554</v>
      </c>
    </row>
    <row r="53" spans="1:21" x14ac:dyDescent="0.25">
      <c r="A53" t="s">
        <v>67</v>
      </c>
      <c r="B53" t="s">
        <v>14</v>
      </c>
      <c r="C53">
        <v>2</v>
      </c>
      <c r="D53" s="34">
        <v>13</v>
      </c>
      <c r="E53" s="34">
        <v>14</v>
      </c>
      <c r="F53" s="34">
        <v>36</v>
      </c>
      <c r="H53" s="20" t="str">
        <f t="shared" si="0"/>
        <v xml:space="preserve">William Sturgeon </v>
      </c>
      <c r="I53" s="31">
        <f t="shared" si="1"/>
        <v>28372.14342608062</v>
      </c>
      <c r="J53" s="29">
        <f>100*((25-M53)/21)*((25-N53)/21)*((25-O53)/21)*((25-P53)/21)*((25-Q53)/21)*((25-L53)/21)</f>
        <v>100</v>
      </c>
      <c r="L53" s="20">
        <v>4</v>
      </c>
      <c r="M53" s="20">
        <v>4</v>
      </c>
      <c r="N53" s="20">
        <v>4</v>
      </c>
      <c r="O53" s="20">
        <v>4</v>
      </c>
      <c r="P53" s="20">
        <v>4</v>
      </c>
      <c r="Q53" s="20">
        <v>4</v>
      </c>
      <c r="R53" s="34">
        <f>IFERROR(VLOOKUP(A53,Selecionados!$B$2:$C$101,2,FALSE),"")</f>
        <v>33</v>
      </c>
      <c r="S53" s="33" t="str">
        <f>IFERROR(VLOOKUP(A53,Selecionados!$B$2:$D$101,3,FALSE),"")</f>
        <v>Einsteen</v>
      </c>
      <c r="T53" s="32">
        <f>I53*(Selecionados!$Q$4/100)</f>
        <v>941.95516174587385</v>
      </c>
      <c r="U53" s="32">
        <f>I53*Selecionados!$I$4+(Selecionados!$K$6/100)*I53*Selecionados!$K$4+(Selecionados!$M$6/100)*I53*Selecionados!$M$6+(Selecionados!$P$6/100)*I53*Selecionados!$P$4</f>
        <v>31041.159393674396</v>
      </c>
    </row>
    <row r="54" spans="1:21" x14ac:dyDescent="0.25">
      <c r="A54" t="s">
        <v>68</v>
      </c>
      <c r="B54" t="s">
        <v>52</v>
      </c>
      <c r="C54">
        <v>2</v>
      </c>
      <c r="D54" s="34">
        <v>14</v>
      </c>
      <c r="E54" s="34">
        <v>15</v>
      </c>
      <c r="F54" s="34">
        <v>29</v>
      </c>
      <c r="H54" s="20" t="str">
        <f t="shared" si="0"/>
        <v xml:space="preserve">Heinrich Lenz </v>
      </c>
      <c r="I54" s="31">
        <f t="shared" si="1"/>
        <v>28633.839480447656</v>
      </c>
      <c r="J54" s="29">
        <f>100*((25-M54)/21)*((25-N54)/21)*((25-O54)/21)*((25-P54)/21)*((25-Q54)/21)*((25-L54)/21)</f>
        <v>100</v>
      </c>
      <c r="L54" s="20">
        <v>4</v>
      </c>
      <c r="M54" s="20">
        <v>4</v>
      </c>
      <c r="N54" s="20">
        <v>4</v>
      </c>
      <c r="O54" s="20">
        <v>4</v>
      </c>
      <c r="P54" s="20">
        <v>4</v>
      </c>
      <c r="Q54" s="20">
        <v>4</v>
      </c>
      <c r="R54" s="34" t="str">
        <f>IFERROR(VLOOKUP(A54,Selecionados!$B$2:$C$101,2,FALSE),"")</f>
        <v/>
      </c>
      <c r="S54" s="33" t="str">
        <f>IFERROR(VLOOKUP(A54,Selecionados!$B$2:$D$101,3,FALSE),"")</f>
        <v/>
      </c>
      <c r="T54" s="32">
        <f>I54*(Selecionados!$Q$4/100)</f>
        <v>950.64347075085936</v>
      </c>
      <c r="U54" s="32">
        <f>I54*Selecionados!$I$4+(Selecionados!$K$6/100)*I54*Selecionados!$K$4+(Selecionados!$M$6/100)*I54*Selecionados!$M$6+(Selecionados!$P$6/100)*I54*Selecionados!$P$4</f>
        <v>31327.473642630139</v>
      </c>
    </row>
    <row r="55" spans="1:21" x14ac:dyDescent="0.25">
      <c r="A55" t="s">
        <v>69</v>
      </c>
      <c r="B55" t="s">
        <v>16</v>
      </c>
      <c r="C55">
        <v>2</v>
      </c>
      <c r="D55" s="34">
        <v>15</v>
      </c>
      <c r="E55" s="34">
        <v>18</v>
      </c>
      <c r="F55" s="34">
        <v>29</v>
      </c>
      <c r="H55" s="20" t="str">
        <f t="shared" si="0"/>
        <v xml:space="preserve">Julius von Mayer </v>
      </c>
      <c r="I55" s="31">
        <f t="shared" si="1"/>
        <v>29324.249402431818</v>
      </c>
      <c r="J55" s="29">
        <f>100*((25-M55)/21)*((25-N55)/21)*((25-O55)/21)*((25-P55)/21)*((25-Q55)/21)*((25-L55)/21)</f>
        <v>100</v>
      </c>
      <c r="L55" s="20">
        <v>4</v>
      </c>
      <c r="M55" s="20">
        <v>4</v>
      </c>
      <c r="N55" s="20">
        <v>4</v>
      </c>
      <c r="O55" s="20">
        <v>4</v>
      </c>
      <c r="P55" s="20">
        <v>4</v>
      </c>
      <c r="Q55" s="20">
        <v>4</v>
      </c>
      <c r="R55" s="34">
        <f>IFERROR(VLOOKUP(A55,Selecionados!$B$2:$C$101,2,FALSE),"")</f>
        <v>8</v>
      </c>
      <c r="S55" s="33" t="str">
        <f>IFERROR(VLOOKUP(A55,Selecionados!$B$2:$D$101,3,FALSE),"")</f>
        <v>Maskufi مسكوفي</v>
      </c>
      <c r="T55" s="32">
        <f>I55*(Selecionados!$Q$4/100)</f>
        <v>973.56508016073349</v>
      </c>
      <c r="U55" s="32">
        <f>I55*Selecionados!$I$4+(Selecionados!$K$6/100)*I55*Selecionados!$K$4+(Selecionados!$M$6/100)*I55*Selecionados!$M$6+(Selecionados!$P$6/100)*I55*Selecionados!$P$4</f>
        <v>32082.831604608589</v>
      </c>
    </row>
    <row r="56" spans="1:21" x14ac:dyDescent="0.25">
      <c r="A56" t="s">
        <v>70</v>
      </c>
      <c r="B56" t="s">
        <v>11</v>
      </c>
      <c r="C56">
        <v>3</v>
      </c>
      <c r="D56" s="34">
        <v>16</v>
      </c>
      <c r="E56" s="34">
        <v>6</v>
      </c>
      <c r="F56" s="34">
        <v>30</v>
      </c>
      <c r="H56" s="20" t="str">
        <f t="shared" si="0"/>
        <v xml:space="preserve">Nicolas-Léonard S. Carnot </v>
      </c>
      <c r="I56" s="31">
        <f t="shared" si="1"/>
        <v>27216.500863231064</v>
      </c>
      <c r="J56" s="29">
        <f>100*((25-M56)/21)*((25-N56)/21)*((25-O56)/21)*((25-P56)/21)*((25-Q56)/21)*((25-L56)/21)</f>
        <v>100</v>
      </c>
      <c r="L56" s="20">
        <v>4</v>
      </c>
      <c r="M56" s="20">
        <v>4</v>
      </c>
      <c r="N56" s="20">
        <v>4</v>
      </c>
      <c r="O56" s="20">
        <v>4</v>
      </c>
      <c r="P56" s="20">
        <v>4</v>
      </c>
      <c r="Q56" s="20">
        <v>4</v>
      </c>
      <c r="R56" s="34">
        <f>IFERROR(VLOOKUP(A56,Selecionados!$B$2:$C$101,2,FALSE),"")</f>
        <v>16</v>
      </c>
      <c r="S56" s="33" t="str">
        <f>IFERROR(VLOOKUP(A56,Selecionados!$B$2:$D$101,3,FALSE),"")</f>
        <v>Plátinum</v>
      </c>
      <c r="T56" s="32">
        <f>I56*(Selecionados!$Q$4/100)</f>
        <v>903.58782865926867</v>
      </c>
      <c r="U56" s="32">
        <f>I56*Selecionados!$I$4+(Selecionados!$K$6/100)*I56*Selecionados!$K$4+(Selecionados!$M$6/100)*I56*Selecionados!$M$6+(Selecionados!$P$6/100)*I56*Selecionados!$P$4</f>
        <v>29776.80356208247</v>
      </c>
    </row>
    <row r="57" spans="1:21" x14ac:dyDescent="0.25">
      <c r="A57" t="s">
        <v>71</v>
      </c>
      <c r="B57" t="s">
        <v>16</v>
      </c>
      <c r="C57">
        <v>2</v>
      </c>
      <c r="D57" s="34">
        <v>11</v>
      </c>
      <c r="E57" s="34">
        <v>16</v>
      </c>
      <c r="F57" s="34">
        <v>31</v>
      </c>
      <c r="H57" s="20" t="str">
        <f t="shared" si="0"/>
        <v xml:space="preserve">Rudolf Clausius </v>
      </c>
      <c r="I57" s="31">
        <f t="shared" si="1"/>
        <v>28030.670120276602</v>
      </c>
      <c r="J57" s="29">
        <f>100*((25-M57)/21)*((25-N57)/21)*((25-O57)/21)*((25-P57)/21)*((25-Q57)/21)*((25-L57)/21)</f>
        <v>100</v>
      </c>
      <c r="L57" s="20">
        <v>4</v>
      </c>
      <c r="M57" s="20">
        <v>4</v>
      </c>
      <c r="N57" s="20">
        <v>4</v>
      </c>
      <c r="O57" s="20">
        <v>4</v>
      </c>
      <c r="P57" s="20">
        <v>4</v>
      </c>
      <c r="Q57" s="20">
        <v>4</v>
      </c>
      <c r="R57" s="34">
        <f>IFERROR(VLOOKUP(A57,Selecionados!$B$2:$C$101,2,FALSE),"")</f>
        <v>93</v>
      </c>
      <c r="S57" s="33" t="str">
        <f>IFERROR(VLOOKUP(A57,Selecionados!$B$2:$D$101,3,FALSE),"")</f>
        <v>ሲሲየም</v>
      </c>
      <c r="T57" s="32">
        <f>I57*(Selecionados!$Q$4/100)</f>
        <v>930.61824799318049</v>
      </c>
      <c r="U57" s="32">
        <f>I57*Selecionados!$I$4+(Selecionados!$K$6/100)*I57*Selecionados!$K$4+(Selecionados!$M$6/100)*I57*Selecionados!$M$6+(Selecionados!$P$6/100)*I57*Selecionados!$P$4</f>
        <v>30667.563111047268</v>
      </c>
    </row>
    <row r="58" spans="1:21" x14ac:dyDescent="0.25">
      <c r="A58" t="s">
        <v>72</v>
      </c>
      <c r="B58" t="s">
        <v>11</v>
      </c>
      <c r="C58">
        <v>1</v>
      </c>
      <c r="D58" s="34">
        <v>16</v>
      </c>
      <c r="E58" s="34">
        <v>14</v>
      </c>
      <c r="F58" s="34">
        <v>37</v>
      </c>
      <c r="H58" s="20" t="str">
        <f t="shared" si="0"/>
        <v xml:space="preserve">B'Paul-Émile Clapeyron </v>
      </c>
      <c r="I58" s="31">
        <f t="shared" si="1"/>
        <v>29125.096416247521</v>
      </c>
      <c r="J58" s="29">
        <f>100*((25-M58)/21)*((25-N58)/21)*((25-O58)/21)*((25-P58)/21)*((25-Q58)/21)*((25-L58)/21)</f>
        <v>100</v>
      </c>
      <c r="L58" s="20">
        <v>4</v>
      </c>
      <c r="M58" s="20">
        <v>4</v>
      </c>
      <c r="N58" s="20">
        <v>4</v>
      </c>
      <c r="O58" s="20">
        <v>4</v>
      </c>
      <c r="P58" s="20">
        <v>4</v>
      </c>
      <c r="Q58" s="20">
        <v>4</v>
      </c>
      <c r="R58" s="34">
        <f>IFERROR(VLOOKUP(A58,Selecionados!$B$2:$C$101,2,FALSE),"")</f>
        <v>41</v>
      </c>
      <c r="S58" s="33" t="str">
        <f>IFERROR(VLOOKUP(A58,Selecionados!$B$2:$D$101,3,FALSE),"")</f>
        <v>Bō luó 波罗</v>
      </c>
      <c r="T58" s="32">
        <f>I58*(Selecionados!$Q$4/100)</f>
        <v>966.95320101941491</v>
      </c>
      <c r="U58" s="32">
        <f>I58*Selecionados!$I$4+(Selecionados!$K$6/100)*I58*Selecionados!$K$4+(Selecionados!$M$6/100)*I58*Selecionados!$M$6+(Selecionados!$P$6/100)*I58*Selecionados!$P$4</f>
        <v>31864.943957029933</v>
      </c>
    </row>
    <row r="59" spans="1:21" x14ac:dyDescent="0.25">
      <c r="A59" t="s">
        <v>73</v>
      </c>
      <c r="B59" t="s">
        <v>11</v>
      </c>
      <c r="C59">
        <v>3</v>
      </c>
      <c r="D59" s="34">
        <v>8</v>
      </c>
      <c r="E59" s="34">
        <v>8</v>
      </c>
      <c r="F59" s="34">
        <v>34</v>
      </c>
      <c r="H59" s="20" t="str">
        <f t="shared" si="0"/>
        <v xml:space="preserve">Siméon D. Poisson </v>
      </c>
      <c r="I59" s="31">
        <f t="shared" si="1"/>
        <v>25608.65448139796</v>
      </c>
      <c r="J59" s="29">
        <f>100*((25-M59)/21)*((25-N59)/21)*((25-O59)/21)*((25-P59)/21)*((25-Q59)/21)*((25-L59)/21)</f>
        <v>100</v>
      </c>
      <c r="L59" s="20">
        <v>4</v>
      </c>
      <c r="M59" s="20">
        <v>4</v>
      </c>
      <c r="N59" s="20">
        <v>4</v>
      </c>
      <c r="O59" s="20">
        <v>4</v>
      </c>
      <c r="P59" s="20">
        <v>4</v>
      </c>
      <c r="Q59" s="20">
        <v>4</v>
      </c>
      <c r="R59" s="34">
        <f>IFERROR(VLOOKUP(A59,Selecionados!$B$2:$C$101,2,FALSE),"")</f>
        <v>85</v>
      </c>
      <c r="S59" s="33" t="str">
        <f>IFERROR(VLOOKUP(A59,Selecionados!$B$2:$D$101,3,FALSE),"")</f>
        <v>Arsônicu</v>
      </c>
      <c r="T59" s="32">
        <f>I59*(Selecionados!$Q$4/100)</f>
        <v>850.20732878240983</v>
      </c>
      <c r="U59" s="32">
        <f>I59*Selecionados!$I$4+(Selecionados!$K$6/100)*I59*Selecionados!$K$4+(Selecionados!$M$6/100)*I59*Selecionados!$M$6+(Selecionados!$P$6/100)*I59*Selecionados!$P$4</f>
        <v>28017.704326275507</v>
      </c>
    </row>
    <row r="60" spans="1:21" x14ac:dyDescent="0.25">
      <c r="A60" t="s">
        <v>74</v>
      </c>
      <c r="B60" t="s">
        <v>11</v>
      </c>
      <c r="C60">
        <v>1</v>
      </c>
      <c r="D60" s="34">
        <v>12</v>
      </c>
      <c r="E60" s="34">
        <v>15</v>
      </c>
      <c r="F60" s="34">
        <v>36</v>
      </c>
      <c r="H60" s="20" t="str">
        <f t="shared" si="0"/>
        <v xml:space="preserve">François Arago </v>
      </c>
      <c r="I60" s="31">
        <f t="shared" si="1"/>
        <v>28266.87489247413</v>
      </c>
      <c r="J60" s="29">
        <f>100*((25-M60)/21)*((25-N60)/21)*((25-O60)/21)*((25-P60)/21)*((25-Q60)/21)*((25-L60)/21)</f>
        <v>100</v>
      </c>
      <c r="L60" s="20">
        <v>4</v>
      </c>
      <c r="M60" s="20">
        <v>4</v>
      </c>
      <c r="N60" s="20">
        <v>4</v>
      </c>
      <c r="O60" s="20">
        <v>4</v>
      </c>
      <c r="P60" s="20">
        <v>4</v>
      </c>
      <c r="Q60" s="20">
        <v>4</v>
      </c>
      <c r="R60" s="34">
        <f>IFERROR(VLOOKUP(A60,Selecionados!$B$2:$C$101,2,FALSE),"")</f>
        <v>72</v>
      </c>
      <c r="S60" s="33" t="str">
        <f>IFERROR(VLOOKUP(A60,Selecionados!$B$2:$D$101,3,FALSE),"")</f>
        <v>Argón</v>
      </c>
      <c r="T60" s="32">
        <f>I60*(Selecionados!$Q$4/100)</f>
        <v>938.46024643013834</v>
      </c>
      <c r="U60" s="32">
        <f>I60*Selecionados!$I$4+(Selecionados!$K$6/100)*I60*Selecionados!$K$4+(Selecionados!$M$6/100)*I60*Selecionados!$M$6+(Selecionados!$P$6/100)*I60*Selecionados!$P$4</f>
        <v>30925.988069402374</v>
      </c>
    </row>
    <row r="61" spans="1:21" x14ac:dyDescent="0.25">
      <c r="A61" t="s">
        <v>75</v>
      </c>
      <c r="B61" t="s">
        <v>14</v>
      </c>
      <c r="C61">
        <v>1</v>
      </c>
      <c r="D61" s="34">
        <v>11</v>
      </c>
      <c r="E61" s="34">
        <v>16</v>
      </c>
      <c r="F61" s="34">
        <v>31</v>
      </c>
      <c r="H61" s="20" t="str">
        <f t="shared" si="0"/>
        <v xml:space="preserve">James Watt </v>
      </c>
      <c r="I61" s="31">
        <f t="shared" si="1"/>
        <v>28030.670120276602</v>
      </c>
      <c r="J61" s="29">
        <f>100*((25-M61)/21)*((25-N61)/21)*((25-O61)/21)*((25-P61)/21)*((25-Q61)/21)*((25-L61)/21)</f>
        <v>100</v>
      </c>
      <c r="L61" s="20">
        <v>4</v>
      </c>
      <c r="M61" s="20">
        <v>4</v>
      </c>
      <c r="N61" s="20">
        <v>4</v>
      </c>
      <c r="O61" s="20">
        <v>4</v>
      </c>
      <c r="P61" s="20">
        <v>4</v>
      </c>
      <c r="Q61" s="20">
        <v>4</v>
      </c>
      <c r="R61" s="34">
        <f>IFERROR(VLOOKUP(A61,Selecionados!$B$2:$C$101,2,FALSE),"")</f>
        <v>56</v>
      </c>
      <c r="S61" s="33" t="str">
        <f>IFERROR(VLOOKUP(A61,Selecionados!$B$2:$D$101,3,FALSE),"")</f>
        <v>Thorio</v>
      </c>
      <c r="T61" s="32">
        <f>I61*(Selecionados!$Q$4/100)</f>
        <v>930.61824799318049</v>
      </c>
      <c r="U61" s="32">
        <f>I61*Selecionados!$I$4+(Selecionados!$K$6/100)*I61*Selecionados!$K$4+(Selecionados!$M$6/100)*I61*Selecionados!$M$6+(Selecionados!$P$6/100)*I61*Selecionados!$P$4</f>
        <v>30667.563111047268</v>
      </c>
    </row>
    <row r="62" spans="1:21" x14ac:dyDescent="0.25">
      <c r="A62" t="s">
        <v>76</v>
      </c>
      <c r="B62" t="s">
        <v>11</v>
      </c>
      <c r="C62">
        <v>3</v>
      </c>
      <c r="D62" s="34">
        <v>12</v>
      </c>
      <c r="E62" s="34">
        <v>15</v>
      </c>
      <c r="F62" s="34">
        <v>29</v>
      </c>
      <c r="H62" s="20" t="str">
        <f t="shared" si="0"/>
        <v xml:space="preserve">JB Joseph Fourier </v>
      </c>
      <c r="I62" s="31">
        <f t="shared" si="1"/>
        <v>28110.370912138966</v>
      </c>
      <c r="J62" s="29">
        <f>100*((25-M62)/21)*((25-N62)/21)*((25-O62)/21)*((25-P62)/21)*((25-Q62)/21)*((25-L62)/21)</f>
        <v>100</v>
      </c>
      <c r="L62" s="20">
        <v>4</v>
      </c>
      <c r="M62" s="20">
        <v>4</v>
      </c>
      <c r="N62" s="20">
        <v>4</v>
      </c>
      <c r="O62" s="20">
        <v>4</v>
      </c>
      <c r="P62" s="20">
        <v>4</v>
      </c>
      <c r="Q62" s="20">
        <v>4</v>
      </c>
      <c r="R62" s="34">
        <f>IFERROR(VLOOKUP(A62,Selecionados!$B$2:$C$101,2,FALSE),"")</f>
        <v>79</v>
      </c>
      <c r="S62" s="33" t="str">
        <f>IFERROR(VLOOKUP(A62,Selecionados!$B$2:$D$101,3,FALSE),"")</f>
        <v>Dí 鏑</v>
      </c>
      <c r="T62" s="32">
        <f>I62*(Selecionados!$Q$4/100)</f>
        <v>933.26431428301089</v>
      </c>
      <c r="U62" s="32">
        <f>I62*Selecionados!$I$4+(Selecionados!$K$6/100)*I62*Selecionados!$K$4+(Selecionados!$M$6/100)*I62*Selecionados!$M$6+(Selecionados!$P$6/100)*I62*Selecionados!$P$4</f>
        <v>30754.761492461326</v>
      </c>
    </row>
    <row r="63" spans="1:21" x14ac:dyDescent="0.25">
      <c r="A63" t="s">
        <v>77</v>
      </c>
      <c r="B63" t="s">
        <v>11</v>
      </c>
      <c r="C63">
        <v>1</v>
      </c>
      <c r="D63" s="34">
        <v>13</v>
      </c>
      <c r="E63" s="34">
        <v>14</v>
      </c>
      <c r="F63" s="34">
        <v>33</v>
      </c>
      <c r="H63" s="20" t="str">
        <f t="shared" si="0"/>
        <v xml:space="preserve">Henri Victor Regnault </v>
      </c>
      <c r="I63" s="31">
        <f t="shared" si="1"/>
        <v>28308.654864082087</v>
      </c>
      <c r="J63" s="29">
        <f>100*((25-M63)/21)*((25-N63)/21)*((25-O63)/21)*((25-P63)/21)*((25-Q63)/21)*((25-L63)/21)</f>
        <v>100</v>
      </c>
      <c r="L63" s="20">
        <v>4</v>
      </c>
      <c r="M63" s="20">
        <v>4</v>
      </c>
      <c r="N63" s="20">
        <v>4</v>
      </c>
      <c r="O63" s="20">
        <v>4</v>
      </c>
      <c r="P63" s="20">
        <v>4</v>
      </c>
      <c r="Q63" s="20">
        <v>4</v>
      </c>
      <c r="R63" s="34">
        <f>IFERROR(VLOOKUP(A63,Selecionados!$B$2:$C$101,2,FALSE),"")</f>
        <v>9</v>
      </c>
      <c r="S63" s="33" t="str">
        <f>IFERROR(VLOOKUP(A63,Selecionados!$B$2:$D$101,3,FALSE),"")</f>
        <v>Amerício Vespúcio</v>
      </c>
      <c r="T63" s="32">
        <f>I63*(Selecionados!$Q$4/100)</f>
        <v>939.84734148752261</v>
      </c>
      <c r="U63" s="32">
        <f>I63*Selecionados!$I$4+(Selecionados!$K$6/100)*I63*Selecionados!$K$4+(Selecionados!$M$6/100)*I63*Selecionados!$M$6+(Selecionados!$P$6/100)*I63*Selecionados!$P$4</f>
        <v>30971.698354264168</v>
      </c>
    </row>
    <row r="64" spans="1:21" x14ac:dyDescent="0.25">
      <c r="A64" t="s">
        <v>78</v>
      </c>
      <c r="B64" t="s">
        <v>11</v>
      </c>
      <c r="C64">
        <v>1</v>
      </c>
      <c r="D64" s="34">
        <v>15</v>
      </c>
      <c r="E64" s="34">
        <v>16</v>
      </c>
      <c r="F64" s="34">
        <v>35</v>
      </c>
      <c r="H64" s="20" t="str">
        <f t="shared" si="0"/>
        <v xml:space="preserve">Antoine César Becquerel </v>
      </c>
      <c r="I64" s="31">
        <f t="shared" si="1"/>
        <v>29168.953701247221</v>
      </c>
      <c r="J64" s="29">
        <f>100*((25-M64)/21)*((25-N64)/21)*((25-O64)/21)*((25-P64)/21)*((25-Q64)/21)*((25-L64)/21)</f>
        <v>100</v>
      </c>
      <c r="L64" s="20">
        <v>4</v>
      </c>
      <c r="M64" s="20">
        <v>4</v>
      </c>
      <c r="N64" s="20">
        <v>4</v>
      </c>
      <c r="O64" s="20">
        <v>4</v>
      </c>
      <c r="P64" s="20">
        <v>4</v>
      </c>
      <c r="Q64" s="20">
        <v>4</v>
      </c>
      <c r="R64" s="34">
        <f>IFERROR(VLOOKUP(A64,Selecionados!$B$2:$C$101,2,FALSE),"")</f>
        <v>64</v>
      </c>
      <c r="S64" s="33" t="str">
        <f>IFERROR(VLOOKUP(A64,Selecionados!$B$2:$D$101,3,FALSE),"")</f>
        <v>углерод</v>
      </c>
      <c r="T64" s="32">
        <f>I64*(Selecionados!$Q$4/100)</f>
        <v>968.40926288140497</v>
      </c>
      <c r="U64" s="32">
        <f>I64*Selecionados!$I$4+(Selecionados!$K$6/100)*I64*Selecionados!$K$4+(Selecionados!$M$6/100)*I64*Selecionados!$M$6+(Selecionados!$P$6/100)*I64*Selecionados!$P$4</f>
        <v>31912.926971700519</v>
      </c>
    </row>
    <row r="65" spans="1:21" x14ac:dyDescent="0.25">
      <c r="A65" t="s">
        <v>79</v>
      </c>
      <c r="B65" t="s">
        <v>38</v>
      </c>
      <c r="C65">
        <v>2</v>
      </c>
      <c r="D65" s="34">
        <v>17</v>
      </c>
      <c r="E65" s="34">
        <v>9</v>
      </c>
      <c r="F65" s="34">
        <v>28</v>
      </c>
      <c r="H65" s="20" t="str">
        <f t="shared" si="0"/>
        <v xml:space="preserve">Tales de Mileto </v>
      </c>
      <c r="I65" s="31">
        <f t="shared" si="1"/>
        <v>28178.475100385291</v>
      </c>
      <c r="J65" s="29">
        <f>100*((25-M65)/21)*((25-N65)/21)*((25-O65)/21)*((25-P65)/21)*((25-Q65)/21)*((25-L65)/21)</f>
        <v>100</v>
      </c>
      <c r="L65" s="20">
        <v>4</v>
      </c>
      <c r="M65" s="20">
        <v>4</v>
      </c>
      <c r="N65" s="20">
        <v>4</v>
      </c>
      <c r="O65" s="20">
        <v>4</v>
      </c>
      <c r="P65" s="20">
        <v>4</v>
      </c>
      <c r="Q65" s="20">
        <v>4</v>
      </c>
      <c r="R65" s="34" t="str">
        <f>IFERROR(VLOOKUP(A65,Selecionados!$B$2:$C$101,2,FALSE),"")</f>
        <v/>
      </c>
      <c r="S65" s="33" t="str">
        <f>IFERROR(VLOOKUP(A65,Selecionados!$B$2:$D$101,3,FALSE),"")</f>
        <v/>
      </c>
      <c r="T65" s="32">
        <f>I65*(Selecionados!$Q$4/100)</f>
        <v>935.52537333278894</v>
      </c>
      <c r="U65" s="32">
        <f>I65*Selecionados!$I$4+(Selecionados!$K$6/100)*I65*Selecionados!$K$4+(Selecionados!$M$6/100)*I65*Selecionados!$M$6+(Selecionados!$P$6/100)*I65*Selecionados!$P$4</f>
        <v>30829.272357960042</v>
      </c>
    </row>
    <row r="66" spans="1:21" x14ac:dyDescent="0.25">
      <c r="A66" t="s">
        <v>86</v>
      </c>
      <c r="B66" t="s">
        <v>87</v>
      </c>
      <c r="C66">
        <v>1</v>
      </c>
      <c r="D66" s="34">
        <v>13</v>
      </c>
      <c r="E66" s="34">
        <v>17</v>
      </c>
      <c r="F66" s="34">
        <v>37</v>
      </c>
      <c r="H66" s="20" t="str">
        <f t="shared" si="0"/>
        <v xml:space="preserve">Leonhard Euler </v>
      </c>
      <c r="I66" s="31">
        <f t="shared" si="1"/>
        <v>28859.197251340585</v>
      </c>
      <c r="J66" s="29">
        <f>100*((25-M66)/21)*((25-N66)/21)*((25-O66)/21)*((25-P66)/21)*((25-Q66)/21)*((25-L66)/21)</f>
        <v>100</v>
      </c>
      <c r="L66" s="20">
        <v>4</v>
      </c>
      <c r="M66" s="20">
        <v>4</v>
      </c>
      <c r="N66" s="20">
        <v>4</v>
      </c>
      <c r="O66" s="20">
        <v>4</v>
      </c>
      <c r="P66" s="20">
        <v>4</v>
      </c>
      <c r="Q66" s="20">
        <v>4</v>
      </c>
      <c r="R66" s="34">
        <f>IFERROR(VLOOKUP(A66,Selecionados!$B$2:$C$101,2,FALSE),"")</f>
        <v>87</v>
      </c>
      <c r="S66" s="33" t="str">
        <f>IFERROR(VLOOKUP(A66,Selecionados!$B$2:$D$101,3,FALSE),"")</f>
        <v>Kallio</v>
      </c>
      <c r="T66" s="32">
        <f>I66*(Selecionados!$Q$4/100)</f>
        <v>958.12534874450466</v>
      </c>
      <c r="U66" s="32">
        <f>I66*Selecionados!$I$4+(Selecionados!$K$6/100)*I66*Selecionados!$K$4+(Selecionados!$M$6/100)*I66*Selecionados!$M$6+(Selecionados!$P$6/100)*I66*Selecionados!$P$4</f>
        <v>31574.031203750463</v>
      </c>
    </row>
    <row r="67" spans="1:21" x14ac:dyDescent="0.25">
      <c r="A67" t="s">
        <v>81</v>
      </c>
      <c r="B67" t="s">
        <v>38</v>
      </c>
      <c r="C67">
        <v>3</v>
      </c>
      <c r="D67" s="34">
        <v>10</v>
      </c>
      <c r="E67" s="34">
        <v>16</v>
      </c>
      <c r="F67" s="34">
        <v>30</v>
      </c>
      <c r="H67" s="20" t="str">
        <f t="shared" ref="H67:H113" si="3">CONCATENATE(A67," ",IF(G67=0,"",ROMAN(G67+1)))</f>
        <v xml:space="preserve">Platão de Atenas </v>
      </c>
      <c r="I67" s="31">
        <f t="shared" ref="I67:I113" si="4">5000+3750*((D67^0.36+E67^0.29+F67^0.125)*J67/100)</f>
        <v>27707.229888684556</v>
      </c>
      <c r="J67" s="29">
        <f>100*((25-M67)/21)*((25-N67)/21)*((25-O67)/21)*((25-P67)/21)*((25-Q67)/21)*((25-L67)/21)</f>
        <v>100</v>
      </c>
      <c r="L67" s="20">
        <v>4</v>
      </c>
      <c r="M67" s="20">
        <v>4</v>
      </c>
      <c r="N67" s="20">
        <v>4</v>
      </c>
      <c r="O67" s="20">
        <v>4</v>
      </c>
      <c r="P67" s="20">
        <v>4</v>
      </c>
      <c r="Q67" s="20">
        <v>4</v>
      </c>
      <c r="R67" s="34">
        <f>IFERROR(VLOOKUP(A67,Selecionados!$B$2:$C$101,2,FALSE),"")</f>
        <v>99</v>
      </c>
      <c r="S67" s="33" t="str">
        <f>IFERROR(VLOOKUP(A67,Selecionados!$B$2:$D$101,3,FALSE),"")</f>
        <v>Oxyde</v>
      </c>
      <c r="T67" s="32">
        <f>I67*(Selecionados!$Q$4/100)</f>
        <v>919.88003230432457</v>
      </c>
      <c r="U67" s="32">
        <f>I67*Selecionados!$I$4+(Selecionados!$K$6/100)*I67*Selecionados!$K$4+(Selecionados!$M$6/100)*I67*Selecionados!$M$6+(Selecionados!$P$6/100)*I67*Selecionados!$P$4</f>
        <v>30313.696304708392</v>
      </c>
    </row>
    <row r="68" spans="1:21" x14ac:dyDescent="0.25">
      <c r="A68" t="s">
        <v>88</v>
      </c>
      <c r="B68" t="s">
        <v>16</v>
      </c>
      <c r="C68">
        <v>2</v>
      </c>
      <c r="D68" s="34">
        <v>14</v>
      </c>
      <c r="E68" s="34">
        <v>15</v>
      </c>
      <c r="F68" s="34">
        <v>35</v>
      </c>
      <c r="H68" s="20" t="str">
        <f t="shared" si="3"/>
        <v xml:space="preserve">JC Friedrich Gauss </v>
      </c>
      <c r="I68" s="31">
        <f t="shared" si="4"/>
        <v>28769.712710084441</v>
      </c>
      <c r="J68" s="29">
        <f>100*((25-M68)/21)*((25-N68)/21)*((25-O68)/21)*((25-P68)/21)*((25-Q68)/21)*((25-L68)/21)</f>
        <v>100</v>
      </c>
      <c r="L68" s="20">
        <v>4</v>
      </c>
      <c r="M68" s="20">
        <v>4</v>
      </c>
      <c r="N68" s="20">
        <v>4</v>
      </c>
      <c r="O68" s="20">
        <v>4</v>
      </c>
      <c r="P68" s="20">
        <v>4</v>
      </c>
      <c r="Q68" s="20">
        <v>4</v>
      </c>
      <c r="R68" s="34">
        <f>IFERROR(VLOOKUP(A68,Selecionados!$B$2:$C$101,2,FALSE),"")</f>
        <v>50</v>
      </c>
      <c r="S68" s="33" t="str">
        <f>IFERROR(VLOOKUP(A68,Selecionados!$B$2:$D$101,3,FALSE),"")</f>
        <v>Gammón Arias</v>
      </c>
      <c r="T68" s="32">
        <f>I68*(Selecionados!$Q$4/100)</f>
        <v>955.1544619748006</v>
      </c>
      <c r="U68" s="32">
        <f>I68*Selecionados!$I$4+(Selecionados!$K$6/100)*I68*Selecionados!$K$4+(Selecionados!$M$6/100)*I68*Selecionados!$M$6+(Selecionados!$P$6/100)*I68*Selecionados!$P$4</f>
        <v>31476.12869893483</v>
      </c>
    </row>
    <row r="69" spans="1:21" x14ac:dyDescent="0.25">
      <c r="A69" t="s">
        <v>89</v>
      </c>
      <c r="B69" t="s">
        <v>46</v>
      </c>
      <c r="C69">
        <v>2</v>
      </c>
      <c r="D69" s="34">
        <v>15</v>
      </c>
      <c r="E69" s="34">
        <v>11</v>
      </c>
      <c r="F69" s="34">
        <v>33</v>
      </c>
      <c r="H69" s="20" t="str">
        <f t="shared" si="3"/>
        <v xml:space="preserve">Joseph L. Lagrange </v>
      </c>
      <c r="I69" s="31">
        <f t="shared" si="4"/>
        <v>28263.279589803733</v>
      </c>
      <c r="J69" s="29">
        <f>100*((25-M69)/21)*((25-N69)/21)*((25-O69)/21)*((25-P69)/21)*((25-Q69)/21)*((25-L69)/21)</f>
        <v>100</v>
      </c>
      <c r="L69" s="20">
        <v>4</v>
      </c>
      <c r="M69" s="20">
        <v>4</v>
      </c>
      <c r="N69" s="20">
        <v>4</v>
      </c>
      <c r="O69" s="20">
        <v>4</v>
      </c>
      <c r="P69" s="20">
        <v>4</v>
      </c>
      <c r="Q69" s="20">
        <v>4</v>
      </c>
      <c r="R69" s="34" t="str">
        <f>IFERROR(VLOOKUP(A69,Selecionados!$B$2:$C$101,2,FALSE),"")</f>
        <v/>
      </c>
      <c r="S69" s="33" t="str">
        <f>IFERROR(VLOOKUP(A69,Selecionados!$B$2:$D$101,3,FALSE),"")</f>
        <v/>
      </c>
      <c r="T69" s="32">
        <f>I69*(Selecionados!$Q$4/100)</f>
        <v>938.34088238148115</v>
      </c>
      <c r="U69" s="32">
        <f>I69*Selecionados!$I$4+(Selecionados!$K$6/100)*I69*Selecionados!$K$4+(Selecionados!$M$6/100)*I69*Selecionados!$M$6+(Selecionados!$P$6/100)*I69*Selecionados!$P$4</f>
        <v>30922.054550472054</v>
      </c>
    </row>
    <row r="70" spans="1:21" x14ac:dyDescent="0.25">
      <c r="A70" t="s">
        <v>90</v>
      </c>
      <c r="B70" t="s">
        <v>11</v>
      </c>
      <c r="C70">
        <v>2</v>
      </c>
      <c r="D70" s="34">
        <v>15</v>
      </c>
      <c r="E70" s="34">
        <v>12</v>
      </c>
      <c r="F70" s="34">
        <v>33</v>
      </c>
      <c r="H70" s="20" t="str">
        <f t="shared" si="3"/>
        <v xml:space="preserve">Augustin-Louis Cauchy </v>
      </c>
      <c r="I70" s="31">
        <f t="shared" si="4"/>
        <v>28455.367507653842</v>
      </c>
      <c r="J70" s="29">
        <f>100*((25-M70)/21)*((25-N70)/21)*((25-O70)/21)*((25-P70)/21)*((25-Q70)/21)*((25-L70)/21)</f>
        <v>100</v>
      </c>
      <c r="L70" s="20">
        <v>4</v>
      </c>
      <c r="M70" s="20">
        <v>4</v>
      </c>
      <c r="N70" s="20">
        <v>4</v>
      </c>
      <c r="O70" s="20">
        <v>4</v>
      </c>
      <c r="P70" s="20">
        <v>4</v>
      </c>
      <c r="Q70" s="20">
        <v>4</v>
      </c>
      <c r="R70" s="34">
        <f>IFERROR(VLOOKUP(A70,Selecionados!$B$2:$C$101,2,FALSE),"")</f>
        <v>5</v>
      </c>
      <c r="S70" s="33" t="str">
        <f>IFERROR(VLOOKUP(A70,Selecionados!$B$2:$D$101,3,FALSE),"")</f>
        <v>Stagno</v>
      </c>
      <c r="T70" s="32">
        <f>I70*(Selecionados!$Q$4/100)</f>
        <v>944.71820125410477</v>
      </c>
      <c r="U70" s="32">
        <f>I70*Selecionados!$I$4+(Selecionados!$K$6/100)*I70*Selecionados!$K$4+(Selecionados!$M$6/100)*I70*Selecionados!$M$6+(Selecionados!$P$6/100)*I70*Selecionados!$P$4</f>
        <v>31132.212506677199</v>
      </c>
    </row>
    <row r="71" spans="1:21" x14ac:dyDescent="0.25">
      <c r="A71" t="s">
        <v>85</v>
      </c>
      <c r="B71" t="s">
        <v>11</v>
      </c>
      <c r="C71">
        <v>1</v>
      </c>
      <c r="D71" s="34">
        <v>14</v>
      </c>
      <c r="E71" s="34">
        <v>13</v>
      </c>
      <c r="F71" s="34">
        <v>26</v>
      </c>
      <c r="H71" s="20" t="str">
        <f t="shared" si="3"/>
        <v xml:space="preserve">Pierre-Simon Laplace </v>
      </c>
      <c r="I71" s="31">
        <f t="shared" si="4"/>
        <v>28222.076898365456</v>
      </c>
      <c r="J71" s="29">
        <f>100*((25-M71)/21)*((25-N71)/21)*((25-O71)/21)*((25-P71)/21)*((25-Q71)/21)*((25-L71)/21)</f>
        <v>100</v>
      </c>
      <c r="L71" s="20">
        <v>4</v>
      </c>
      <c r="M71" s="20">
        <v>4</v>
      </c>
      <c r="N71" s="20">
        <v>4</v>
      </c>
      <c r="O71" s="20">
        <v>4</v>
      </c>
      <c r="P71" s="20">
        <v>4</v>
      </c>
      <c r="Q71" s="20">
        <v>4</v>
      </c>
      <c r="R71" s="34">
        <f>IFERROR(VLOOKUP(A71,Selecionados!$B$2:$C$101,2,FALSE),"")</f>
        <v>14</v>
      </c>
      <c r="S71" s="33" t="str">
        <f>IFERROR(VLOOKUP(A71,Selecionados!$B$2:$D$101,3,FALSE),"")</f>
        <v>Samary</v>
      </c>
      <c r="T71" s="32">
        <f>I71*(Selecionados!$Q$4/100)</f>
        <v>936.97295302573036</v>
      </c>
      <c r="U71" s="32">
        <f>I71*Selecionados!$I$4+(Selecionados!$K$6/100)*I71*Selecionados!$K$4+(Selecionados!$M$6/100)*I71*Selecionados!$M$6+(Selecionados!$P$6/100)*I71*Selecionados!$P$4</f>
        <v>30876.975851511004</v>
      </c>
    </row>
    <row r="72" spans="1:21" x14ac:dyDescent="0.25">
      <c r="A72" t="s">
        <v>80</v>
      </c>
      <c r="B72" t="s">
        <v>38</v>
      </c>
      <c r="C72">
        <v>1</v>
      </c>
      <c r="D72" s="34">
        <v>14</v>
      </c>
      <c r="E72" s="34">
        <v>13</v>
      </c>
      <c r="F72" s="34">
        <v>32</v>
      </c>
      <c r="H72" s="20" t="str">
        <f t="shared" si="3"/>
        <v xml:space="preserve">Aristóteles de Estagira </v>
      </c>
      <c r="I72" s="31">
        <f t="shared" si="4"/>
        <v>28370.250511277678</v>
      </c>
      <c r="J72" s="29">
        <f>100*((25-M72)/21)*((25-N72)/21)*((25-O72)/21)*((25-P72)/21)*((25-Q72)/21)*((25-L72)/21)</f>
        <v>100</v>
      </c>
      <c r="L72" s="20">
        <v>4</v>
      </c>
      <c r="M72" s="20">
        <v>4</v>
      </c>
      <c r="N72" s="20">
        <v>4</v>
      </c>
      <c r="O72" s="20">
        <v>4</v>
      </c>
      <c r="P72" s="20">
        <v>4</v>
      </c>
      <c r="Q72" s="20">
        <v>4</v>
      </c>
      <c r="R72" s="34">
        <f>IFERROR(VLOOKUP(A72,Selecionados!$B$2:$C$101,2,FALSE),"")</f>
        <v>7</v>
      </c>
      <c r="S72" s="33" t="str">
        <f>IFERROR(VLOOKUP(A72,Selecionados!$B$2:$D$101,3,FALSE),"")</f>
        <v>Alghalyawm الغاليوم</v>
      </c>
      <c r="T72" s="32">
        <f>I72*(Selecionados!$Q$4/100)</f>
        <v>941.89231697441619</v>
      </c>
      <c r="U72" s="32">
        <f>I72*Selecionados!$I$4+(Selecionados!$K$6/100)*I72*Selecionados!$K$4+(Selecionados!$M$6/100)*I72*Selecionados!$M$6+(Selecionados!$P$6/100)*I72*Selecionados!$P$4</f>
        <v>31039.088409144457</v>
      </c>
    </row>
    <row r="73" spans="1:21" x14ac:dyDescent="0.25">
      <c r="A73" t="s">
        <v>93</v>
      </c>
      <c r="B73" t="s">
        <v>16</v>
      </c>
      <c r="C73">
        <v>1</v>
      </c>
      <c r="D73" s="34">
        <v>14</v>
      </c>
      <c r="E73" s="34">
        <v>13</v>
      </c>
      <c r="F73" s="34">
        <v>39</v>
      </c>
      <c r="H73" s="20" t="str">
        <f t="shared" si="3"/>
        <v xml:space="preserve">Gottfried W. Leibniz </v>
      </c>
      <c r="I73" s="31">
        <f t="shared" si="4"/>
        <v>28515.043843762109</v>
      </c>
      <c r="J73" s="29">
        <f>100*((25-M73)/21)*((25-N73)/21)*((25-O73)/21)*((25-P73)/21)*((25-Q73)/21)*((25-L73)/21)</f>
        <v>100</v>
      </c>
      <c r="L73" s="20">
        <v>4</v>
      </c>
      <c r="M73" s="20">
        <v>4</v>
      </c>
      <c r="N73" s="20">
        <v>4</v>
      </c>
      <c r="O73" s="20">
        <v>4</v>
      </c>
      <c r="P73" s="20">
        <v>4</v>
      </c>
      <c r="Q73" s="20">
        <v>4</v>
      </c>
      <c r="R73" s="34">
        <f>IFERROR(VLOOKUP(A73,Selecionados!$B$2:$C$101,2,FALSE),"")</f>
        <v>29</v>
      </c>
      <c r="S73" s="33" t="str">
        <f>IFERROR(VLOOKUP(A73,Selecionados!$B$2:$D$101,3,FALSE),"")</f>
        <v>ትሪቲየም</v>
      </c>
      <c r="T73" s="32">
        <f>I73*(Selecionados!$Q$4/100)</f>
        <v>946.69945561289921</v>
      </c>
      <c r="U73" s="32">
        <f>I73*Selecionados!$I$4+(Selecionados!$K$6/100)*I73*Selecionados!$K$4+(Selecionados!$M$6/100)*I73*Selecionados!$M$6+(Selecionados!$P$6/100)*I73*Selecionados!$P$4</f>
        <v>31197.502697599619</v>
      </c>
    </row>
    <row r="74" spans="1:21" x14ac:dyDescent="0.25">
      <c r="A74" t="s">
        <v>94</v>
      </c>
      <c r="B74" t="s">
        <v>11</v>
      </c>
      <c r="C74">
        <v>1</v>
      </c>
      <c r="D74" s="34">
        <v>14</v>
      </c>
      <c r="E74" s="34">
        <v>18</v>
      </c>
      <c r="F74" s="34">
        <v>27</v>
      </c>
      <c r="H74" s="20" t="str">
        <f t="shared" si="3"/>
        <v xml:space="preserve">Blaise Pascal </v>
      </c>
      <c r="I74" s="31">
        <f t="shared" si="4"/>
        <v>29029.585365811858</v>
      </c>
      <c r="J74" s="29">
        <f>100*((25-M74)/21)*((25-N74)/21)*((25-O74)/21)*((25-P74)/21)*((25-Q74)/21)*((25-L74)/21)</f>
        <v>100</v>
      </c>
      <c r="L74" s="20">
        <v>4</v>
      </c>
      <c r="M74" s="20">
        <v>4</v>
      </c>
      <c r="N74" s="20">
        <v>4</v>
      </c>
      <c r="O74" s="20">
        <v>4</v>
      </c>
      <c r="P74" s="20">
        <v>4</v>
      </c>
      <c r="Q74" s="20">
        <v>4</v>
      </c>
      <c r="R74" s="34">
        <f>IFERROR(VLOOKUP(A74,Selecionados!$B$2:$C$101,2,FALSE),"")</f>
        <v>63</v>
      </c>
      <c r="S74" s="33" t="str">
        <f>IFERROR(VLOOKUP(A74,Selecionados!$B$2:$D$101,3,FALSE),"")</f>
        <v>Beryllium</v>
      </c>
      <c r="T74" s="32">
        <f>I74*(Selecionados!$Q$4/100)</f>
        <v>963.78223414495085</v>
      </c>
      <c r="U74" s="32">
        <f>I74*Selecionados!$I$4+(Selecionados!$K$6/100)*I74*Selecionados!$K$4+(Selecionados!$M$6/100)*I74*Selecionados!$M$6+(Selecionados!$P$6/100)*I74*Selecionados!$P$4</f>
        <v>31760.448019028107</v>
      </c>
    </row>
    <row r="75" spans="1:21" x14ac:dyDescent="0.25">
      <c r="A75" t="s">
        <v>96</v>
      </c>
      <c r="B75" t="s">
        <v>97</v>
      </c>
      <c r="C75">
        <v>1</v>
      </c>
      <c r="D75" s="34">
        <v>15</v>
      </c>
      <c r="E75" s="34">
        <v>17</v>
      </c>
      <c r="F75" s="34">
        <v>31</v>
      </c>
      <c r="H75" s="20" t="str">
        <f t="shared" si="3"/>
        <v xml:space="preserve">Jakob Bernoulli </v>
      </c>
      <c r="I75" s="31">
        <f t="shared" si="4"/>
        <v>29229.528409211347</v>
      </c>
      <c r="J75" s="29">
        <f>100*((25-M75)/21)*((25-N75)/21)*((25-O75)/21)*((25-P75)/21)*((25-Q75)/21)*((25-L75)/21)</f>
        <v>100</v>
      </c>
      <c r="L75" s="20">
        <v>4</v>
      </c>
      <c r="M75" s="20">
        <v>4</v>
      </c>
      <c r="N75" s="20">
        <v>4</v>
      </c>
      <c r="O75" s="20">
        <v>4</v>
      </c>
      <c r="P75" s="20">
        <v>4</v>
      </c>
      <c r="Q75" s="20">
        <v>4</v>
      </c>
      <c r="R75" s="34">
        <f>IFERROR(VLOOKUP(A75,Selecionados!$B$2:$C$101,2,FALSE),"")</f>
        <v>51</v>
      </c>
      <c r="S75" s="33" t="str">
        <f>IFERROR(VLOOKUP(A75,Selecionados!$B$2:$D$101,3,FALSE),"")</f>
        <v>Darmstádtio</v>
      </c>
      <c r="T75" s="32">
        <f>I75*(Selecionados!$Q$4/100)</f>
        <v>970.42034318581386</v>
      </c>
      <c r="U75" s="32">
        <f>I75*Selecionados!$I$4+(Selecionados!$K$6/100)*I75*Selecionados!$K$4+(Selecionados!$M$6/100)*I75*Selecionados!$M$6+(Selecionados!$P$6/100)*I75*Selecionados!$P$4</f>
        <v>31979.200045852933</v>
      </c>
    </row>
    <row r="76" spans="1:21" x14ac:dyDescent="0.25">
      <c r="A76" t="s">
        <v>98</v>
      </c>
      <c r="B76" t="s">
        <v>11</v>
      </c>
      <c r="C76">
        <v>1</v>
      </c>
      <c r="D76" s="34">
        <v>12</v>
      </c>
      <c r="E76" s="34">
        <v>11</v>
      </c>
      <c r="F76" s="34">
        <v>31</v>
      </c>
      <c r="H76" s="20" t="str">
        <f t="shared" si="3"/>
        <v xml:space="preserve">Adrien-Marie Legendre </v>
      </c>
      <c r="I76" s="31">
        <f t="shared" si="4"/>
        <v>27450.752468798251</v>
      </c>
      <c r="J76" s="29">
        <f>100*((25-M76)/21)*((25-N76)/21)*((25-O76)/21)*((25-P76)/21)*((25-Q76)/21)*((25-L76)/21)</f>
        <v>100</v>
      </c>
      <c r="L76" s="20">
        <v>4</v>
      </c>
      <c r="M76" s="20">
        <v>4</v>
      </c>
      <c r="N76" s="20">
        <v>4</v>
      </c>
      <c r="O76" s="20">
        <v>4</v>
      </c>
      <c r="P76" s="20">
        <v>4</v>
      </c>
      <c r="Q76" s="20">
        <v>4</v>
      </c>
      <c r="R76" s="34">
        <f>IFERROR(VLOOKUP(A76,Selecionados!$B$2:$C$101,2,FALSE),"")</f>
        <v>73</v>
      </c>
      <c r="S76" s="33" t="str">
        <f>IFERROR(VLOOKUP(A76,Selecionados!$B$2:$D$101,3,FALSE),"")</f>
        <v>Rwterford</v>
      </c>
      <c r="T76" s="32">
        <f>I76*(Selecionados!$Q$4/100)</f>
        <v>911.36498196409934</v>
      </c>
      <c r="U76" s="32">
        <f>I76*Selecionados!$I$4+(Selecionados!$K$6/100)*I76*Selecionados!$K$4+(Selecionados!$M$6/100)*I76*Selecionados!$M$6+(Selecionados!$P$6/100)*I76*Selecionados!$P$4</f>
        <v>30033.091616087975</v>
      </c>
    </row>
    <row r="77" spans="1:21" x14ac:dyDescent="0.25">
      <c r="A77" t="s">
        <v>99</v>
      </c>
      <c r="B77" t="s">
        <v>14</v>
      </c>
      <c r="C77">
        <v>2</v>
      </c>
      <c r="D77" s="34">
        <v>15</v>
      </c>
      <c r="E77" s="34">
        <v>15</v>
      </c>
      <c r="F77" s="34">
        <v>24</v>
      </c>
      <c r="H77" s="20" t="str">
        <f t="shared" si="3"/>
        <v xml:space="preserve">Thomas Bayes </v>
      </c>
      <c r="I77" s="31">
        <f t="shared" si="4"/>
        <v>28744.157657094256</v>
      </c>
      <c r="J77" s="29">
        <f>100*((25-M77)/21)*((25-N77)/21)*((25-O77)/21)*((25-P77)/21)*((25-Q77)/21)*((25-L77)/21)</f>
        <v>100</v>
      </c>
      <c r="L77" s="20">
        <v>4</v>
      </c>
      <c r="M77" s="20">
        <v>4</v>
      </c>
      <c r="N77" s="20">
        <v>4</v>
      </c>
      <c r="O77" s="20">
        <v>4</v>
      </c>
      <c r="P77" s="20">
        <v>4</v>
      </c>
      <c r="Q77" s="20">
        <v>4</v>
      </c>
      <c r="R77" s="34">
        <f>IFERROR(VLOOKUP(A77,Selecionados!$B$2:$C$101,2,FALSE),"")</f>
        <v>3</v>
      </c>
      <c r="S77" s="33" t="str">
        <f>IFERROR(VLOOKUP(A77,Selecionados!$B$2:$D$101,3,FALSE),"")</f>
        <v>Titanio</v>
      </c>
      <c r="T77" s="32">
        <f>I77*(Selecionados!$Q$4/100)</f>
        <v>954.30603421552655</v>
      </c>
      <c r="U77" s="32">
        <f>I77*Selecionados!$I$4+(Selecionados!$K$6/100)*I77*Selecionados!$K$4+(Selecionados!$M$6/100)*I77*Selecionados!$M$6+(Selecionados!$P$6/100)*I77*Selecionados!$P$4</f>
        <v>31448.169638483549</v>
      </c>
    </row>
    <row r="78" spans="1:21" x14ac:dyDescent="0.25">
      <c r="A78" t="s">
        <v>100</v>
      </c>
      <c r="B78" t="s">
        <v>11</v>
      </c>
      <c r="C78">
        <v>2</v>
      </c>
      <c r="D78" s="34">
        <v>17</v>
      </c>
      <c r="E78" s="34">
        <v>11</v>
      </c>
      <c r="F78" s="34">
        <v>32</v>
      </c>
      <c r="H78" s="20" t="str">
        <f t="shared" si="3"/>
        <v xml:space="preserve">Jules Henri Poincaré </v>
      </c>
      <c r="I78" s="31">
        <f t="shared" si="4"/>
        <v>28699.158987839008</v>
      </c>
      <c r="J78" s="29">
        <f>100*((25-M78)/21)*((25-N78)/21)*((25-O78)/21)*((25-P78)/21)*((25-Q78)/21)*((25-L78)/21)</f>
        <v>100</v>
      </c>
      <c r="L78" s="20">
        <v>4</v>
      </c>
      <c r="M78" s="20">
        <v>4</v>
      </c>
      <c r="N78" s="20">
        <v>4</v>
      </c>
      <c r="O78" s="20">
        <v>4</v>
      </c>
      <c r="P78" s="20">
        <v>4</v>
      </c>
      <c r="Q78" s="20">
        <v>4</v>
      </c>
      <c r="R78" s="34">
        <f>IFERROR(VLOOKUP(A78,Selecionados!$B$2:$C$101,2,FALSE),"")</f>
        <v>52</v>
      </c>
      <c r="S78" s="33" t="str">
        <f>IFERROR(VLOOKUP(A78,Selecionados!$B$2:$D$101,3,FALSE),"")</f>
        <v>Erbeen</v>
      </c>
      <c r="T78" s="32">
        <f>I78*(Selecionados!$Q$4/100)</f>
        <v>952.81207839625233</v>
      </c>
      <c r="U78" s="32">
        <f>I78*Selecionados!$I$4+(Selecionados!$K$6/100)*I78*Selecionados!$K$4+(Selecionados!$M$6/100)*I78*Selecionados!$M$6+(Selecionados!$P$6/100)*I78*Selecionados!$P$4</f>
        <v>31398.937867591983</v>
      </c>
    </row>
    <row r="79" spans="1:21" x14ac:dyDescent="0.25">
      <c r="A79" t="s">
        <v>101</v>
      </c>
      <c r="B79" t="s">
        <v>16</v>
      </c>
      <c r="C79">
        <v>1</v>
      </c>
      <c r="D79" s="34">
        <v>15</v>
      </c>
      <c r="E79" s="34">
        <v>17</v>
      </c>
      <c r="F79" s="34">
        <v>33</v>
      </c>
      <c r="H79" s="20" t="str">
        <f t="shared" si="3"/>
        <v xml:space="preserve">Karl W. T. Weierstraß </v>
      </c>
      <c r="I79" s="31">
        <f t="shared" si="4"/>
        <v>29274.722438438705</v>
      </c>
      <c r="J79" s="29">
        <f>100*((25-M79)/21)*((25-N79)/21)*((25-O79)/21)*((25-P79)/21)*((25-Q79)/21)*((25-L79)/21)</f>
        <v>100</v>
      </c>
      <c r="L79" s="20">
        <v>4</v>
      </c>
      <c r="M79" s="20">
        <v>4</v>
      </c>
      <c r="N79" s="20">
        <v>4</v>
      </c>
      <c r="O79" s="20">
        <v>4</v>
      </c>
      <c r="P79" s="20">
        <v>4</v>
      </c>
      <c r="Q79" s="20">
        <v>4</v>
      </c>
      <c r="R79" s="34">
        <f>IFERROR(VLOOKUP(A79,Selecionados!$B$2:$C$101,2,FALSE),"")</f>
        <v>13</v>
      </c>
      <c r="S79" s="33" t="str">
        <f>IFERROR(VLOOKUP(A79,Selecionados!$B$2:$D$101,3,FALSE),"")</f>
        <v>Nepher</v>
      </c>
      <c r="T79" s="32">
        <f>I79*(Selecionados!$Q$4/100)</f>
        <v>971.92078495616215</v>
      </c>
      <c r="U79" s="32">
        <f>I79*Selecionados!$I$4+(Selecionados!$K$6/100)*I79*Selecionados!$K$4+(Selecionados!$M$6/100)*I79*Selecionados!$M$6+(Selecionados!$P$6/100)*I79*Selecionados!$P$4</f>
        <v>32028.645554562692</v>
      </c>
    </row>
    <row r="80" spans="1:21" x14ac:dyDescent="0.25">
      <c r="A80" t="s">
        <v>23</v>
      </c>
      <c r="B80" t="s">
        <v>18</v>
      </c>
      <c r="C80">
        <v>2</v>
      </c>
      <c r="D80" s="34">
        <v>12</v>
      </c>
      <c r="E80" s="34">
        <v>14</v>
      </c>
      <c r="F80" s="34">
        <v>32</v>
      </c>
      <c r="H80" s="20" t="str">
        <f t="shared" si="3"/>
        <v xml:space="preserve">José Moura Gonçalves </v>
      </c>
      <c r="I80" s="31">
        <f t="shared" si="4"/>
        <v>28018.182766575021</v>
      </c>
      <c r="J80" s="29">
        <f>100*((25-M80)/21)*((25-N80)/21)*((25-O80)/21)*((25-P80)/21)*((25-Q80)/21)*((25-L80)/21)</f>
        <v>100</v>
      </c>
      <c r="L80" s="20">
        <v>4</v>
      </c>
      <c r="M80" s="20">
        <v>4</v>
      </c>
      <c r="N80" s="20">
        <v>4</v>
      </c>
      <c r="O80" s="20">
        <v>4</v>
      </c>
      <c r="P80" s="20">
        <v>4</v>
      </c>
      <c r="Q80" s="20">
        <v>4</v>
      </c>
      <c r="R80" s="34">
        <f>IFERROR(VLOOKUP(A80,Selecionados!$B$2:$C$101,2,FALSE),"")</f>
        <v>65</v>
      </c>
      <c r="S80" s="33" t="str">
        <f>IFERROR(VLOOKUP(A80,Selecionados!$B$2:$D$101,3,FALSE),"")</f>
        <v>Lutecio</v>
      </c>
      <c r="T80" s="32">
        <f>I80*(Selecionados!$Q$4/100)</f>
        <v>930.20366785028796</v>
      </c>
      <c r="U80" s="32">
        <f>I80*Selecionados!$I$4+(Selecionados!$K$6/100)*I80*Selecionados!$K$4+(Selecionados!$M$6/100)*I80*Selecionados!$M$6+(Selecionados!$P$6/100)*I80*Selecionados!$P$4</f>
        <v>30653.90105066519</v>
      </c>
    </row>
    <row r="81" spans="1:21" x14ac:dyDescent="0.25">
      <c r="A81" t="s">
        <v>102</v>
      </c>
      <c r="B81" t="s">
        <v>11</v>
      </c>
      <c r="C81">
        <v>1</v>
      </c>
      <c r="D81" s="34">
        <v>16</v>
      </c>
      <c r="E81" s="34">
        <v>16</v>
      </c>
      <c r="F81" s="34">
        <v>34</v>
      </c>
      <c r="H81" s="20" t="str">
        <f t="shared" si="3"/>
        <v xml:space="preserve">François-Marie Raoult </v>
      </c>
      <c r="I81" s="31">
        <f t="shared" si="4"/>
        <v>29381.469291866288</v>
      </c>
      <c r="J81" s="29">
        <f>100*((25-M81)/21)*((25-N81)/21)*((25-O81)/21)*((25-P81)/21)*((25-Q81)/21)*((25-L81)/21)</f>
        <v>100</v>
      </c>
      <c r="L81" s="20">
        <v>4</v>
      </c>
      <c r="M81" s="20">
        <v>4</v>
      </c>
      <c r="N81" s="20">
        <v>4</v>
      </c>
      <c r="O81" s="20">
        <v>4</v>
      </c>
      <c r="P81" s="20">
        <v>4</v>
      </c>
      <c r="Q81" s="20">
        <v>4</v>
      </c>
      <c r="R81" s="34">
        <f>IFERROR(VLOOKUP(A81,Selecionados!$B$2:$C$101,2,FALSE),"")</f>
        <v>47</v>
      </c>
      <c r="S81" s="33" t="str">
        <f>IFERROR(VLOOKUP(A81,Selecionados!$B$2:$D$101,3,FALSE),"")</f>
        <v>Magnesi</v>
      </c>
      <c r="T81" s="32">
        <f>I81*(Selecionados!$Q$4/100)</f>
        <v>975.46478048995789</v>
      </c>
      <c r="U81" s="32">
        <f>I81*Selecionados!$I$4+(Selecionados!$K$6/100)*I81*Selecionados!$K$4+(Selecionados!$M$6/100)*I81*Selecionados!$M$6+(Selecionados!$P$6/100)*I81*Selecionados!$P$4</f>
        <v>32145.434266725093</v>
      </c>
    </row>
    <row r="82" spans="1:21" x14ac:dyDescent="0.25">
      <c r="A82" t="s">
        <v>83</v>
      </c>
      <c r="B82" t="s">
        <v>84</v>
      </c>
      <c r="C82">
        <v>2</v>
      </c>
      <c r="D82" s="34">
        <v>14</v>
      </c>
      <c r="E82" s="34">
        <v>13</v>
      </c>
      <c r="F82" s="34">
        <v>31</v>
      </c>
      <c r="H82" s="20" t="str">
        <f t="shared" si="3"/>
        <v xml:space="preserve">Immanuel Kant </v>
      </c>
      <c r="I82" s="31">
        <f t="shared" si="4"/>
        <v>28347.344500046831</v>
      </c>
      <c r="J82" s="29">
        <f>100*((25-M82)/21)*((25-N82)/21)*((25-O82)/21)*((25-P82)/21)*((25-Q82)/21)*((25-L82)/21)</f>
        <v>100</v>
      </c>
      <c r="L82" s="20">
        <v>4</v>
      </c>
      <c r="M82" s="20">
        <v>4</v>
      </c>
      <c r="N82" s="20">
        <v>4</v>
      </c>
      <c r="O82" s="20">
        <v>4</v>
      </c>
      <c r="P82" s="20">
        <v>4</v>
      </c>
      <c r="Q82" s="20">
        <v>4</v>
      </c>
      <c r="R82" s="34">
        <f>IFERROR(VLOOKUP(A82,Selecionados!$B$2:$C$101,2,FALSE),"")</f>
        <v>27</v>
      </c>
      <c r="S82" s="33" t="str">
        <f>IFERROR(VLOOKUP(A82,Selecionados!$B$2:$D$101,3,FALSE),"")</f>
        <v>Paladi</v>
      </c>
      <c r="T82" s="32">
        <f>I82*(Selecionados!$Q$4/100)</f>
        <v>941.13183740155205</v>
      </c>
      <c r="U82" s="32">
        <f>I82*Selecionados!$I$4+(Selecionados!$K$6/100)*I82*Selecionados!$K$4+(Selecionados!$M$6/100)*I82*Selecionados!$M$6+(Selecionados!$P$6/100)*I82*Selecionados!$P$4</f>
        <v>31014.027590333124</v>
      </c>
    </row>
    <row r="83" spans="1:21" x14ac:dyDescent="0.25">
      <c r="A83" t="s">
        <v>103</v>
      </c>
      <c r="B83" t="s">
        <v>11</v>
      </c>
      <c r="C83">
        <v>1</v>
      </c>
      <c r="D83" s="34">
        <v>12</v>
      </c>
      <c r="E83" s="34">
        <v>15</v>
      </c>
      <c r="F83" s="34">
        <v>33</v>
      </c>
      <c r="H83" s="20" t="str">
        <f t="shared" si="3"/>
        <v xml:space="preserve">Louis Joseph Gay-Lussac </v>
      </c>
      <c r="I83" s="31">
        <f t="shared" si="4"/>
        <v>28203.386330475594</v>
      </c>
      <c r="J83" s="29">
        <f>100*((25-M83)/21)*((25-N83)/21)*((25-O83)/21)*((25-P83)/21)*((25-Q83)/21)*((25-L83)/21)</f>
        <v>100</v>
      </c>
      <c r="L83" s="20">
        <v>4</v>
      </c>
      <c r="M83" s="20">
        <v>4</v>
      </c>
      <c r="N83" s="20">
        <v>4</v>
      </c>
      <c r="O83" s="20">
        <v>4</v>
      </c>
      <c r="P83" s="20">
        <v>4</v>
      </c>
      <c r="Q83" s="20">
        <v>4</v>
      </c>
      <c r="R83" s="34">
        <f>IFERROR(VLOOKUP(A83,Selecionados!$B$2:$C$101,2,FALSE),"")</f>
        <v>22</v>
      </c>
      <c r="S83" s="33" t="str">
        <f>IFERROR(VLOOKUP(A83,Selecionados!$B$2:$D$101,3,FALSE),"")</f>
        <v>Brumeta</v>
      </c>
      <c r="T83" s="32">
        <f>I83*(Selecionados!$Q$4/100)</f>
        <v>936.35242617178699</v>
      </c>
      <c r="U83" s="32">
        <f>I83*Selecionados!$I$4+(Selecionados!$K$6/100)*I83*Selecionados!$K$4+(Selecionados!$M$6/100)*I83*Selecionados!$M$6+(Selecionados!$P$6/100)*I83*Selecionados!$P$4</f>
        <v>30856.527029992139</v>
      </c>
    </row>
    <row r="84" spans="1:21" x14ac:dyDescent="0.25">
      <c r="A84" t="s">
        <v>95</v>
      </c>
      <c r="B84" t="s">
        <v>38</v>
      </c>
      <c r="C84">
        <v>2</v>
      </c>
      <c r="D84" s="34">
        <v>12</v>
      </c>
      <c r="E84" s="34">
        <v>13</v>
      </c>
      <c r="F84" s="34">
        <v>30</v>
      </c>
      <c r="H84" s="20" t="str">
        <f t="shared" si="3"/>
        <v xml:space="preserve">Euclides de Alexandria </v>
      </c>
      <c r="I84" s="31">
        <f t="shared" si="4"/>
        <v>27800.314002952979</v>
      </c>
      <c r="J84" s="29">
        <f>100*((25-M84)/21)*((25-N84)/21)*((25-O84)/21)*((25-P84)/21)*((25-Q84)/21)*((25-L84)/21)</f>
        <v>100</v>
      </c>
      <c r="L84" s="20">
        <v>4</v>
      </c>
      <c r="M84" s="20">
        <v>4</v>
      </c>
      <c r="N84" s="20">
        <v>4</v>
      </c>
      <c r="O84" s="20">
        <v>4</v>
      </c>
      <c r="P84" s="20">
        <v>4</v>
      </c>
      <c r="Q84" s="20">
        <v>4</v>
      </c>
      <c r="R84" s="34">
        <f>IFERROR(VLOOKUP(A84,Selecionados!$B$2:$C$101,2,FALSE),"")</f>
        <v>26</v>
      </c>
      <c r="S84" s="33" t="str">
        <f>IFERROR(VLOOKUP(A84,Selecionados!$B$2:$D$101,3,FALSE),"")</f>
        <v>Vanadium</v>
      </c>
      <c r="T84" s="32">
        <f>I84*(Selecionados!$Q$4/100)</f>
        <v>922.97042489803619</v>
      </c>
      <c r="U84" s="32">
        <f>I84*Selecionados!$I$4+(Selecionados!$K$6/100)*I84*Selecionados!$K$4+(Selecionados!$M$6/100)*I84*Selecionados!$M$6+(Selecionados!$P$6/100)*I84*Selecionados!$P$4</f>
        <v>30415.537000514585</v>
      </c>
    </row>
    <row r="85" spans="1:21" x14ac:dyDescent="0.25">
      <c r="A85" t="s">
        <v>104</v>
      </c>
      <c r="B85" t="s">
        <v>14</v>
      </c>
      <c r="C85">
        <v>2</v>
      </c>
      <c r="D85" s="34">
        <v>16</v>
      </c>
      <c r="E85" s="34">
        <v>13</v>
      </c>
      <c r="F85" s="34">
        <v>30</v>
      </c>
      <c r="H85" s="20" t="str">
        <f t="shared" si="3"/>
        <v xml:space="preserve">Robert Boyle </v>
      </c>
      <c r="I85" s="31">
        <f t="shared" si="4"/>
        <v>28801.31580945952</v>
      </c>
      <c r="J85" s="29">
        <f>100*((25-M85)/21)*((25-N85)/21)*((25-O85)/21)*((25-P85)/21)*((25-Q85)/21)*((25-L85)/21)</f>
        <v>100</v>
      </c>
      <c r="L85" s="20">
        <v>4</v>
      </c>
      <c r="M85" s="20">
        <v>4</v>
      </c>
      <c r="N85" s="20">
        <v>4</v>
      </c>
      <c r="O85" s="20">
        <v>4</v>
      </c>
      <c r="P85" s="20">
        <v>4</v>
      </c>
      <c r="Q85" s="20">
        <v>4</v>
      </c>
      <c r="R85" s="34">
        <f>IFERROR(VLOOKUP(A85,Selecionados!$B$2:$C$101,2,FALSE),"")</f>
        <v>95</v>
      </c>
      <c r="S85" s="33" t="str">
        <f>IFERROR(VLOOKUP(A85,Selecionados!$B$2:$D$101,3,FALSE),"")</f>
        <v>Estibinão</v>
      </c>
      <c r="T85" s="32">
        <f>I85*(Selecionados!$Q$4/100)</f>
        <v>956.20368487405324</v>
      </c>
      <c r="U85" s="32">
        <f>I85*Selecionados!$I$4+(Selecionados!$K$6/100)*I85*Selecionados!$K$4+(Selecionados!$M$6/100)*I85*Selecionados!$M$6+(Selecionados!$P$6/100)*I85*Selecionados!$P$4</f>
        <v>31510.704755819348</v>
      </c>
    </row>
    <row r="86" spans="1:21" x14ac:dyDescent="0.25">
      <c r="A86" t="s">
        <v>92</v>
      </c>
      <c r="B86" t="s">
        <v>38</v>
      </c>
      <c r="C86">
        <v>1</v>
      </c>
      <c r="D86" s="34">
        <v>15</v>
      </c>
      <c r="E86" s="34">
        <v>9</v>
      </c>
      <c r="F86" s="34">
        <v>33</v>
      </c>
      <c r="H86" s="20" t="str">
        <f t="shared" si="3"/>
        <v xml:space="preserve">Heráclito de Éfeso </v>
      </c>
      <c r="I86" s="31">
        <f t="shared" si="4"/>
        <v>27838.325899032789</v>
      </c>
      <c r="J86" s="29">
        <f>100*((25-M86)/21)*((25-N86)/21)*((25-O86)/21)*((25-P86)/21)*((25-Q86)/21)*((25-L86)/21)</f>
        <v>100</v>
      </c>
      <c r="L86" s="20">
        <v>4</v>
      </c>
      <c r="M86" s="20">
        <v>4</v>
      </c>
      <c r="N86" s="20">
        <v>4</v>
      </c>
      <c r="O86" s="20">
        <v>4</v>
      </c>
      <c r="P86" s="20">
        <v>4</v>
      </c>
      <c r="Q86" s="20">
        <v>4</v>
      </c>
      <c r="R86" s="34" t="str">
        <f>IFERROR(VLOOKUP(A86,Selecionados!$B$2:$C$101,2,FALSE),"")</f>
        <v/>
      </c>
      <c r="S86" s="33" t="str">
        <f>IFERROR(VLOOKUP(A86,Selecionados!$B$2:$D$101,3,FALSE),"")</f>
        <v/>
      </c>
      <c r="T86" s="32">
        <f>I86*(Selecionados!$Q$4/100)</f>
        <v>924.23241984788592</v>
      </c>
      <c r="U86" s="32">
        <f>I86*Selecionados!$I$4+(Selecionados!$K$6/100)*I86*Selecionados!$K$4+(Selecionados!$M$6/100)*I86*Selecionados!$M$6+(Selecionados!$P$6/100)*I86*Selecionados!$P$4</f>
        <v>30457.124740550626</v>
      </c>
    </row>
    <row r="87" spans="1:21" x14ac:dyDescent="0.25">
      <c r="A87" t="s">
        <v>82</v>
      </c>
      <c r="B87" t="s">
        <v>38</v>
      </c>
      <c r="C87">
        <v>1</v>
      </c>
      <c r="D87" s="34">
        <v>13</v>
      </c>
      <c r="E87" s="34">
        <v>13</v>
      </c>
      <c r="F87" s="34">
        <v>32</v>
      </c>
      <c r="H87" s="20" t="str">
        <f t="shared" si="3"/>
        <v xml:space="preserve">Sócrates de Alópece </v>
      </c>
      <c r="I87" s="31">
        <f t="shared" si="4"/>
        <v>28114.966022479548</v>
      </c>
      <c r="J87" s="29">
        <f>100*((25-M87)/21)*((25-N87)/21)*((25-O87)/21)*((25-P87)/21)*((25-Q87)/21)*((25-L87)/21)</f>
        <v>100</v>
      </c>
      <c r="L87" s="20">
        <v>4</v>
      </c>
      <c r="M87" s="20">
        <v>4</v>
      </c>
      <c r="N87" s="20">
        <v>4</v>
      </c>
      <c r="O87" s="20">
        <v>4</v>
      </c>
      <c r="P87" s="20">
        <v>4</v>
      </c>
      <c r="Q87" s="20">
        <v>4</v>
      </c>
      <c r="R87" s="34">
        <f>IFERROR(VLOOKUP(A87,Selecionados!$B$2:$C$101,2,FALSE),"")</f>
        <v>42</v>
      </c>
      <c r="S87" s="33" t="str">
        <f>IFERROR(VLOOKUP(A87,Selecionados!$B$2:$D$101,3,FALSE),"")</f>
        <v>Strontium</v>
      </c>
      <c r="T87" s="32">
        <f>I87*(Selecionados!$Q$4/100)</f>
        <v>933.41687194631822</v>
      </c>
      <c r="U87" s="32">
        <f>I87*Selecionados!$I$4+(Selecionados!$K$6/100)*I87*Selecionados!$K$4+(Selecionados!$M$6/100)*I87*Selecionados!$M$6+(Selecionados!$P$6/100)*I87*Selecionados!$P$4</f>
        <v>30759.788872676185</v>
      </c>
    </row>
    <row r="88" spans="1:21" x14ac:dyDescent="0.25">
      <c r="A88" t="s">
        <v>105</v>
      </c>
      <c r="B88" t="s">
        <v>46</v>
      </c>
      <c r="C88">
        <v>3</v>
      </c>
      <c r="D88" s="34">
        <v>11</v>
      </c>
      <c r="E88" s="34">
        <v>5</v>
      </c>
      <c r="F88" s="34">
        <v>28</v>
      </c>
      <c r="H88" s="20" t="str">
        <f t="shared" si="3"/>
        <v xml:space="preserve">L.R.A.C Avogadro </v>
      </c>
      <c r="I88" s="31">
        <f t="shared" si="4"/>
        <v>25558.624569320065</v>
      </c>
      <c r="J88" s="29">
        <f>100*((25-M88)/21)*((25-N88)/21)*((25-O88)/21)*((25-P88)/21)*((25-Q88)/21)*((25-L88)/21)</f>
        <v>100</v>
      </c>
      <c r="L88" s="20">
        <v>4</v>
      </c>
      <c r="M88" s="20">
        <v>4</v>
      </c>
      <c r="N88" s="20">
        <v>4</v>
      </c>
      <c r="O88" s="20">
        <v>4</v>
      </c>
      <c r="P88" s="20">
        <v>4</v>
      </c>
      <c r="Q88" s="20">
        <v>4</v>
      </c>
      <c r="R88" s="34">
        <f>IFERROR(VLOOKUP(A88,Selecionados!$B$2:$C$101,2,FALSE),"")</f>
        <v>15</v>
      </c>
      <c r="S88" s="33" t="str">
        <f>IFERROR(VLOOKUP(A88,Selecionados!$B$2:$D$101,3,FALSE),"")</f>
        <v>Plumbium</v>
      </c>
      <c r="T88" s="32">
        <f>I88*(Selecionados!$Q$4/100)</f>
        <v>848.54633570142369</v>
      </c>
      <c r="U88" s="32">
        <f>I88*Selecionados!$I$4+(Selecionados!$K$6/100)*I88*Selecionados!$K$4+(Selecionados!$M$6/100)*I88*Selecionados!$M$6+(Selecionados!$P$6/100)*I88*Selecionados!$P$4</f>
        <v>27962.968014959886</v>
      </c>
    </row>
    <row r="89" spans="1:21" x14ac:dyDescent="0.25">
      <c r="A89" t="s">
        <v>106</v>
      </c>
      <c r="B89" t="s">
        <v>33</v>
      </c>
      <c r="C89">
        <v>2</v>
      </c>
      <c r="D89" s="34">
        <v>14</v>
      </c>
      <c r="E89" s="34">
        <v>12</v>
      </c>
      <c r="F89" s="34">
        <v>28</v>
      </c>
      <c r="H89" s="20" t="str">
        <f t="shared" si="3"/>
        <v xml:space="preserve">Josiah Willard Gibbs </v>
      </c>
      <c r="I89" s="31">
        <f t="shared" si="4"/>
        <v>28093.484769505118</v>
      </c>
      <c r="J89" s="29">
        <f>100*((25-M89)/21)*((25-N89)/21)*((25-O89)/21)*((25-P89)/21)*((25-Q89)/21)*((25-L89)/21)</f>
        <v>100</v>
      </c>
      <c r="L89" s="20">
        <v>4</v>
      </c>
      <c r="M89" s="20">
        <v>4</v>
      </c>
      <c r="N89" s="20">
        <v>4</v>
      </c>
      <c r="O89" s="20">
        <v>4</v>
      </c>
      <c r="P89" s="20">
        <v>4</v>
      </c>
      <c r="Q89" s="20">
        <v>4</v>
      </c>
      <c r="R89" s="34">
        <f>IFERROR(VLOOKUP(A89,Selecionados!$B$2:$C$101,2,FALSE),"")</f>
        <v>58</v>
      </c>
      <c r="S89" s="33" t="str">
        <f>IFERROR(VLOOKUP(A89,Selecionados!$B$2:$D$101,3,FALSE),"")</f>
        <v>Terby</v>
      </c>
      <c r="T89" s="32">
        <f>I89*(Selecionados!$Q$4/100)</f>
        <v>932.70369434756719</v>
      </c>
      <c r="U89" s="32">
        <f>I89*Selecionados!$I$4+(Selecionados!$K$6/100)*I89*Selecionados!$K$4+(Selecionados!$M$6/100)*I89*Selecionados!$M$6+(Selecionados!$P$6/100)*I89*Selecionados!$P$4</f>
        <v>30736.286841562731</v>
      </c>
    </row>
    <row r="90" spans="1:21" x14ac:dyDescent="0.25">
      <c r="A90" t="s">
        <v>107</v>
      </c>
      <c r="B90" t="s">
        <v>16</v>
      </c>
      <c r="C90">
        <v>1</v>
      </c>
      <c r="D90" s="34">
        <v>14</v>
      </c>
      <c r="E90" s="34">
        <v>14</v>
      </c>
      <c r="F90" s="34">
        <v>29</v>
      </c>
      <c r="H90" s="20" t="str">
        <f t="shared" si="3"/>
        <v xml:space="preserve">Gustav R. Kirchhoff </v>
      </c>
      <c r="I90" s="31">
        <f t="shared" si="4"/>
        <v>28470.923934543593</v>
      </c>
      <c r="J90" s="29">
        <f>100*((25-M90)/21)*((25-N90)/21)*((25-O90)/21)*((25-P90)/21)*((25-Q90)/21)*((25-L90)/21)</f>
        <v>100</v>
      </c>
      <c r="L90" s="20">
        <v>4</v>
      </c>
      <c r="M90" s="20">
        <v>4</v>
      </c>
      <c r="N90" s="20">
        <v>4</v>
      </c>
      <c r="O90" s="20">
        <v>4</v>
      </c>
      <c r="P90" s="20">
        <v>4</v>
      </c>
      <c r="Q90" s="20">
        <v>4</v>
      </c>
      <c r="R90" s="34">
        <f>IFERROR(VLOOKUP(A90,Selecionados!$B$2:$C$101,2,FALSE),"")</f>
        <v>36</v>
      </c>
      <c r="S90" s="33" t="str">
        <f>IFERROR(VLOOKUP(A90,Selecionados!$B$2:$D$101,3,FALSE),"")</f>
        <v>Plutão</v>
      </c>
      <c r="T90" s="32">
        <f>I90*(Selecionados!$Q$4/100)</f>
        <v>945.23467462684448</v>
      </c>
      <c r="U90" s="32">
        <f>I90*Selecionados!$I$4+(Selecionados!$K$6/100)*I90*Selecionados!$K$4+(Selecionados!$M$6/100)*I90*Selecionados!$M$6+(Selecionados!$P$6/100)*I90*Selecionados!$P$4</f>
        <v>31149.232353201616</v>
      </c>
    </row>
    <row r="91" spans="1:21" x14ac:dyDescent="0.25">
      <c r="A91" t="s">
        <v>91</v>
      </c>
      <c r="B91" t="s">
        <v>38</v>
      </c>
      <c r="C91">
        <v>1</v>
      </c>
      <c r="D91" s="34">
        <v>16</v>
      </c>
      <c r="E91" s="34">
        <v>16</v>
      </c>
      <c r="F91" s="34">
        <v>30</v>
      </c>
      <c r="H91" s="20" t="str">
        <f t="shared" si="3"/>
        <v xml:space="preserve">Hipócrates de Cós </v>
      </c>
      <c r="I91" s="31">
        <f t="shared" si="4"/>
        <v>29291.008646662947</v>
      </c>
      <c r="J91" s="29">
        <f>100*((25-M91)/21)*((25-N91)/21)*((25-O91)/21)*((25-P91)/21)*((25-Q91)/21)*((25-L91)/21)</f>
        <v>100</v>
      </c>
      <c r="L91" s="20">
        <v>4</v>
      </c>
      <c r="M91" s="20">
        <v>4</v>
      </c>
      <c r="N91" s="20">
        <v>4</v>
      </c>
      <c r="O91" s="20">
        <v>4</v>
      </c>
      <c r="P91" s="20">
        <v>4</v>
      </c>
      <c r="Q91" s="20">
        <v>4</v>
      </c>
      <c r="R91" s="34">
        <f>IFERROR(VLOOKUP(A91,Selecionados!$B$2:$C$101,2,FALSE),"")</f>
        <v>98</v>
      </c>
      <c r="S91" s="33" t="str">
        <f>IFERROR(VLOOKUP(A91,Selecionados!$B$2:$D$101,3,FALSE),"")</f>
        <v>Lantane</v>
      </c>
      <c r="T91" s="32">
        <f>I91*(Selecionados!$Q$4/100)</f>
        <v>972.46148706920701</v>
      </c>
      <c r="U91" s="32">
        <f>I91*Selecionados!$I$4+(Selecionados!$K$6/100)*I91*Selecionados!$K$4+(Selecionados!$M$6/100)*I91*Selecionados!$M$6+(Selecionados!$P$6/100)*I91*Selecionados!$P$4</f>
        <v>32046.463834197588</v>
      </c>
    </row>
    <row r="92" spans="1:21" x14ac:dyDescent="0.25">
      <c r="A92" t="s">
        <v>108</v>
      </c>
      <c r="B92" t="s">
        <v>33</v>
      </c>
      <c r="C92">
        <v>2</v>
      </c>
      <c r="D92" s="34">
        <v>18</v>
      </c>
      <c r="E92" s="34">
        <v>16</v>
      </c>
      <c r="F92" s="34">
        <v>35</v>
      </c>
      <c r="H92" s="20" t="str">
        <f t="shared" si="3"/>
        <v xml:space="preserve">Albert A. Michelson </v>
      </c>
      <c r="I92" s="31">
        <f t="shared" si="4"/>
        <v>29843.319009553343</v>
      </c>
      <c r="J92" s="29">
        <f>100*((25-M92)/21)*((25-N92)/21)*((25-O92)/21)*((25-P92)/21)*((25-Q92)/21)*((25-L92)/21)</f>
        <v>100</v>
      </c>
      <c r="L92" s="20">
        <v>4</v>
      </c>
      <c r="M92" s="20">
        <v>4</v>
      </c>
      <c r="N92" s="20">
        <v>4</v>
      </c>
      <c r="O92" s="20">
        <v>4</v>
      </c>
      <c r="P92" s="20">
        <v>4</v>
      </c>
      <c r="Q92" s="20">
        <v>4</v>
      </c>
      <c r="R92" s="34">
        <f>IFERROR(VLOOKUP(A92,Selecionados!$B$2:$C$101,2,FALSE),"")</f>
        <v>12</v>
      </c>
      <c r="S92" s="33" t="str">
        <f>IFERROR(VLOOKUP(A92,Selecionados!$B$2:$D$101,3,FALSE),"")</f>
        <v>Dubinyum دوبنيوم</v>
      </c>
      <c r="T92" s="32">
        <f>I92*(Selecionados!$Q$4/100)</f>
        <v>990.79819111716813</v>
      </c>
      <c r="U92" s="32">
        <f>I92*Selecionados!$I$4+(Selecionados!$K$6/100)*I92*Selecionados!$K$4+(Selecionados!$M$6/100)*I92*Selecionados!$M$6+(Selecionados!$P$6/100)*I92*Selecionados!$P$4</f>
        <v>32650.730975801675</v>
      </c>
    </row>
    <row r="93" spans="1:21" x14ac:dyDescent="0.25">
      <c r="A93" t="s">
        <v>110</v>
      </c>
      <c r="B93" t="s">
        <v>12</v>
      </c>
      <c r="C93">
        <v>2</v>
      </c>
      <c r="D93" s="34">
        <v>12</v>
      </c>
      <c r="E93" s="34">
        <v>15</v>
      </c>
      <c r="F93" s="34">
        <v>35</v>
      </c>
      <c r="H93" s="20" t="str">
        <f t="shared" si="3"/>
        <v xml:space="preserve">Johannes Nicolaus Brønsted </v>
      </c>
      <c r="I93" s="31">
        <f t="shared" si="4"/>
        <v>28246.244141775758</v>
      </c>
      <c r="J93" s="29">
        <f>100*((25-M93)/21)*((25-N93)/21)*((25-O93)/21)*((25-P93)/21)*((25-Q93)/21)*((25-L93)/21)</f>
        <v>100</v>
      </c>
      <c r="L93" s="20">
        <v>4</v>
      </c>
      <c r="M93" s="20">
        <v>4</v>
      </c>
      <c r="N93" s="20">
        <v>4</v>
      </c>
      <c r="O93" s="20">
        <v>4</v>
      </c>
      <c r="P93" s="20">
        <v>4</v>
      </c>
      <c r="Q93" s="20">
        <v>4</v>
      </c>
      <c r="R93" s="34">
        <f>IFERROR(VLOOKUP(A93,Selecionados!$B$2:$C$101,2,FALSE),"")</f>
        <v>67</v>
      </c>
      <c r="S93" s="33" t="str">
        <f>IFERROR(VLOOKUP(A93,Selecionados!$B$2:$D$101,3,FALSE),"")</f>
        <v>Aurum</v>
      </c>
      <c r="T93" s="32">
        <f>I93*(Selecionados!$Q$4/100)</f>
        <v>937.77530550695246</v>
      </c>
      <c r="U93" s="32">
        <f>I93*Selecionados!$I$4+(Selecionados!$K$6/100)*I93*Selecionados!$K$4+(Selecionados!$M$6/100)*I93*Selecionados!$M$6+(Selecionados!$P$6/100)*I93*Selecionados!$P$4</f>
        <v>30903.416548766025</v>
      </c>
    </row>
    <row r="94" spans="1:21" x14ac:dyDescent="0.25">
      <c r="A94" t="s">
        <v>111</v>
      </c>
      <c r="B94" t="s">
        <v>14</v>
      </c>
      <c r="C94">
        <v>1</v>
      </c>
      <c r="D94" s="34">
        <v>16</v>
      </c>
      <c r="E94" s="34">
        <v>14</v>
      </c>
      <c r="F94" s="34">
        <v>26</v>
      </c>
      <c r="H94" s="20" t="str">
        <f t="shared" si="3"/>
        <v xml:space="preserve">Thomas Martin Lowry </v>
      </c>
      <c r="I94" s="31">
        <f t="shared" si="4"/>
        <v>28871.01096016934</v>
      </c>
      <c r="J94" s="29">
        <f>100*((25-M94)/21)*((25-N94)/21)*((25-O94)/21)*((25-P94)/21)*((25-Q94)/21)*((25-L94)/21)</f>
        <v>100</v>
      </c>
      <c r="L94" s="20">
        <v>4</v>
      </c>
      <c r="M94" s="20">
        <v>4</v>
      </c>
      <c r="N94" s="20">
        <v>4</v>
      </c>
      <c r="O94" s="20">
        <v>4</v>
      </c>
      <c r="P94" s="20">
        <v>4</v>
      </c>
      <c r="Q94" s="20">
        <v>4</v>
      </c>
      <c r="R94" s="34">
        <f>IFERROR(VLOOKUP(A94,Selecionados!$B$2:$C$101,2,FALSE),"")</f>
        <v>76</v>
      </c>
      <c r="S94" s="33" t="str">
        <f>IFERROR(VLOOKUP(A94,Selecionados!$B$2:$D$101,3,FALSE),"")</f>
        <v>Netuno</v>
      </c>
      <c r="T94" s="32">
        <f>I94*(Selecionados!$Q$4/100)</f>
        <v>958.5175638776193</v>
      </c>
      <c r="U94" s="32">
        <f>I94*Selecionados!$I$4+(Selecionados!$K$6/100)*I94*Selecionados!$K$4+(Selecionados!$M$6/100)*I94*Selecionados!$M$6+(Selecionados!$P$6/100)*I94*Selecionados!$P$4</f>
        <v>31586.956248336515</v>
      </c>
    </row>
    <row r="95" spans="1:21" x14ac:dyDescent="0.25">
      <c r="A95" t="s">
        <v>112</v>
      </c>
      <c r="B95" t="s">
        <v>14</v>
      </c>
      <c r="C95">
        <v>3</v>
      </c>
      <c r="D95" s="34">
        <v>15</v>
      </c>
      <c r="E95" s="34">
        <v>10</v>
      </c>
      <c r="F95" s="34">
        <v>39</v>
      </c>
      <c r="H95" s="20" t="str">
        <f t="shared" si="3"/>
        <v xml:space="preserve">Henry Edward Armstrong </v>
      </c>
      <c r="I95" s="31">
        <f t="shared" si="4"/>
        <v>28180.864917985997</v>
      </c>
      <c r="J95" s="29">
        <f>100*((25-M95)/21)*((25-N95)/21)*((25-O95)/21)*((25-P95)/21)*((25-Q95)/21)*((25-L95)/21)</f>
        <v>100</v>
      </c>
      <c r="L95" s="20">
        <v>4</v>
      </c>
      <c r="M95" s="20">
        <v>4</v>
      </c>
      <c r="N95" s="20">
        <v>4</v>
      </c>
      <c r="O95" s="20">
        <v>4</v>
      </c>
      <c r="P95" s="20">
        <v>4</v>
      </c>
      <c r="Q95" s="20">
        <v>4</v>
      </c>
      <c r="R95" s="34">
        <f>IFERROR(VLOOKUP(A95,Selecionados!$B$2:$C$101,2,FALSE),"")</f>
        <v>28</v>
      </c>
      <c r="S95" s="33" t="str">
        <f>IFERROR(VLOOKUP(A95,Selecionados!$B$2:$D$101,3,FALSE),"")</f>
        <v>Radío</v>
      </c>
      <c r="T95" s="32">
        <f>I95*(Selecionados!$Q$4/100)</f>
        <v>935.60471527713241</v>
      </c>
      <c r="U95" s="32">
        <f>I95*Selecionados!$I$4+(Selecionados!$K$6/100)*I95*Selecionados!$K$4+(Selecionados!$M$6/100)*I95*Selecionados!$M$6+(Selecionados!$P$6/100)*I95*Selecionados!$P$4</f>
        <v>30831.886989782222</v>
      </c>
    </row>
    <row r="96" spans="1:21" x14ac:dyDescent="0.25">
      <c r="A96" t="s">
        <v>113</v>
      </c>
      <c r="B96" t="s">
        <v>16</v>
      </c>
      <c r="C96">
        <v>1</v>
      </c>
      <c r="D96" s="34">
        <v>13</v>
      </c>
      <c r="E96" s="34">
        <v>15</v>
      </c>
      <c r="F96" s="34">
        <v>27</v>
      </c>
      <c r="H96" s="20" t="str">
        <f t="shared" si="3"/>
        <v xml:space="preserve">AW Hermann Kolbe </v>
      </c>
      <c r="I96" s="31">
        <f t="shared" si="4"/>
        <v>28327.755478498995</v>
      </c>
      <c r="J96" s="29">
        <f>100*((25-M96)/21)*((25-N96)/21)*((25-O96)/21)*((25-P96)/21)*((25-Q96)/21)*((25-L96)/21)</f>
        <v>100</v>
      </c>
      <c r="L96" s="20">
        <v>4</v>
      </c>
      <c r="M96" s="20">
        <v>4</v>
      </c>
      <c r="N96" s="20">
        <v>4</v>
      </c>
      <c r="O96" s="20">
        <v>4</v>
      </c>
      <c r="P96" s="20">
        <v>4</v>
      </c>
      <c r="Q96" s="20">
        <v>4</v>
      </c>
      <c r="R96" s="34">
        <f>IFERROR(VLOOKUP(A96,Selecionados!$B$2:$C$101,2,FALSE),"")</f>
        <v>25</v>
      </c>
      <c r="S96" s="33" t="str">
        <f>IFERROR(VLOOKUP(A96,Selecionados!$B$2:$D$101,3,FALSE),"")</f>
        <v>Radhon</v>
      </c>
      <c r="T96" s="32">
        <f>I96*(Selecionados!$Q$4/100)</f>
        <v>940.48148188616392</v>
      </c>
      <c r="U96" s="32">
        <f>I96*Selecionados!$I$4+(Selecionados!$K$6/100)*I96*Selecionados!$K$4+(Selecionados!$M$6/100)*I96*Selecionados!$M$6+(Selecionados!$P$6/100)*I96*Selecionados!$P$4</f>
        <v>30992.595796086887</v>
      </c>
    </row>
    <row r="97" spans="1:21" x14ac:dyDescent="0.25">
      <c r="A97" t="s">
        <v>114</v>
      </c>
      <c r="B97" t="s">
        <v>16</v>
      </c>
      <c r="C97">
        <v>2</v>
      </c>
      <c r="D97" s="34">
        <v>16</v>
      </c>
      <c r="E97" s="34">
        <v>14</v>
      </c>
      <c r="F97" s="34">
        <v>31</v>
      </c>
      <c r="H97" s="20" t="str">
        <f t="shared" si="3"/>
        <v xml:space="preserve">RW Eberhard von Bunsen </v>
      </c>
      <c r="I97" s="31">
        <f t="shared" si="4"/>
        <v>28996.278561850715</v>
      </c>
      <c r="J97" s="29">
        <f>100*((25-M97)/21)*((25-N97)/21)*((25-O97)/21)*((25-P97)/21)*((25-Q97)/21)*((25-L97)/21)</f>
        <v>100</v>
      </c>
      <c r="L97" s="20">
        <v>4</v>
      </c>
      <c r="M97" s="20">
        <v>4</v>
      </c>
      <c r="N97" s="20">
        <v>4</v>
      </c>
      <c r="O97" s="20">
        <v>4</v>
      </c>
      <c r="P97" s="20">
        <v>4</v>
      </c>
      <c r="Q97" s="20">
        <v>4</v>
      </c>
      <c r="R97" s="34">
        <f>IFERROR(VLOOKUP(A97,Selecionados!$B$2:$C$101,2,FALSE),"")</f>
        <v>66</v>
      </c>
      <c r="S97" s="33" t="str">
        <f>IFERROR(VLOOKUP(A97,Selecionados!$B$2:$D$101,3,FALSE),"")</f>
        <v>Yterbí</v>
      </c>
      <c r="T97" s="32">
        <f>I97*(Selecionados!$Q$4/100)</f>
        <v>962.67644825344098</v>
      </c>
      <c r="U97" s="32">
        <f>I97*Selecionados!$I$4+(Selecionados!$K$6/100)*I97*Selecionados!$K$4+(Selecionados!$M$6/100)*I97*Selecionados!$M$6+(Selecionados!$P$6/100)*I97*Selecionados!$P$4</f>
        <v>31724.007987158631</v>
      </c>
    </row>
    <row r="98" spans="1:21" x14ac:dyDescent="0.25">
      <c r="A98" t="s">
        <v>115</v>
      </c>
      <c r="B98" t="s">
        <v>16</v>
      </c>
      <c r="C98">
        <v>2</v>
      </c>
      <c r="D98" s="34">
        <v>18</v>
      </c>
      <c r="E98" s="34">
        <v>11</v>
      </c>
      <c r="F98" s="34">
        <v>29</v>
      </c>
      <c r="H98" s="20" t="str">
        <f t="shared" si="3"/>
        <v xml:space="preserve">August W. von Hofmann </v>
      </c>
      <c r="I98" s="31">
        <f t="shared" si="4"/>
        <v>28844.62947977323</v>
      </c>
      <c r="J98" s="29">
        <f>100*((25-M98)/21)*((25-N98)/21)*((25-O98)/21)*((25-P98)/21)*((25-Q98)/21)*((25-L98)/21)</f>
        <v>100</v>
      </c>
      <c r="L98" s="20">
        <v>4</v>
      </c>
      <c r="M98" s="20">
        <v>4</v>
      </c>
      <c r="N98" s="20">
        <v>4</v>
      </c>
      <c r="O98" s="20">
        <v>4</v>
      </c>
      <c r="P98" s="20">
        <v>4</v>
      </c>
      <c r="Q98" s="20">
        <v>4</v>
      </c>
      <c r="R98" s="34">
        <f>IFERROR(VLOOKUP(A98,Selecionados!$B$2:$C$101,2,FALSE),"")</f>
        <v>2</v>
      </c>
      <c r="S98" s="33" t="str">
        <f>IFERROR(VLOOKUP(A98,Selecionados!$B$2:$D$101,3,FALSE),"")</f>
        <v>Xiāo jī 硝基</v>
      </c>
      <c r="T98" s="32">
        <f>I98*(Selecionados!$Q$4/100)</f>
        <v>957.64169872846844</v>
      </c>
      <c r="U98" s="32">
        <f>I98*Selecionados!$I$4+(Selecionados!$K$6/100)*I98*Selecionados!$K$4+(Selecionados!$M$6/100)*I98*Selecionados!$M$6+(Selecionados!$P$6/100)*I98*Selecionados!$P$4</f>
        <v>31558.093017042396</v>
      </c>
    </row>
    <row r="99" spans="1:21" x14ac:dyDescent="0.25">
      <c r="A99" t="s">
        <v>116</v>
      </c>
      <c r="B99" t="s">
        <v>87</v>
      </c>
      <c r="C99">
        <v>1</v>
      </c>
      <c r="D99" s="34">
        <v>11</v>
      </c>
      <c r="E99" s="34">
        <v>13</v>
      </c>
      <c r="F99" s="34">
        <v>26</v>
      </c>
      <c r="H99" s="20" t="str">
        <f t="shared" si="3"/>
        <v xml:space="preserve">Vladimir V. Markovnikov </v>
      </c>
      <c r="I99" s="31">
        <f t="shared" si="4"/>
        <v>27415.709681391803</v>
      </c>
      <c r="J99" s="29">
        <f>100*((25-M99)/21)*((25-N99)/21)*((25-O99)/21)*((25-P99)/21)*((25-Q99)/21)*((25-L99)/21)</f>
        <v>100</v>
      </c>
      <c r="L99" s="20">
        <v>4</v>
      </c>
      <c r="M99" s="20">
        <v>4</v>
      </c>
      <c r="N99" s="20">
        <v>4</v>
      </c>
      <c r="O99" s="20">
        <v>4</v>
      </c>
      <c r="P99" s="20">
        <v>4</v>
      </c>
      <c r="Q99" s="20">
        <v>4</v>
      </c>
      <c r="R99" s="34">
        <f>IFERROR(VLOOKUP(A99,Selecionados!$B$2:$C$101,2,FALSE),"")</f>
        <v>80</v>
      </c>
      <c r="S99" s="33" t="str">
        <f>IFERROR(VLOOKUP(A99,Selecionados!$B$2:$D$101,3,FALSE),"")</f>
        <v>протактиний</v>
      </c>
      <c r="T99" s="32">
        <f>I99*(Selecionados!$Q$4/100)</f>
        <v>910.20156142220526</v>
      </c>
      <c r="U99" s="32">
        <f>I99*Selecionados!$I$4+(Selecionados!$K$6/100)*I99*Selecionados!$K$4+(Selecionados!$M$6/100)*I99*Selecionados!$M$6+(Selecionados!$P$6/100)*I99*Selecionados!$P$4</f>
        <v>29994.752293846912</v>
      </c>
    </row>
    <row r="100" spans="1:21" x14ac:dyDescent="0.25">
      <c r="A100" t="s">
        <v>19</v>
      </c>
      <c r="B100" t="s">
        <v>18</v>
      </c>
      <c r="C100">
        <v>1</v>
      </c>
      <c r="D100" s="34">
        <v>15</v>
      </c>
      <c r="E100" s="34">
        <v>12</v>
      </c>
      <c r="F100" s="34">
        <v>35</v>
      </c>
      <c r="H100" s="20" t="str">
        <f t="shared" si="3"/>
        <v xml:space="preserve">Heinrich Rheinboldt </v>
      </c>
      <c r="I100" s="31">
        <f t="shared" si="4"/>
        <v>28498.22531895401</v>
      </c>
      <c r="J100" s="29">
        <f>100*((25-M100)/21)*((25-N100)/21)*((25-O100)/21)*((25-P100)/21)*((25-Q100)/21)*((25-L100)/21)</f>
        <v>100</v>
      </c>
      <c r="L100" s="20">
        <v>4</v>
      </c>
      <c r="M100" s="20">
        <v>4</v>
      </c>
      <c r="N100" s="20">
        <v>4</v>
      </c>
      <c r="O100" s="20">
        <v>4</v>
      </c>
      <c r="P100" s="20">
        <v>4</v>
      </c>
      <c r="Q100" s="20">
        <v>4</v>
      </c>
      <c r="R100" s="34">
        <f>IFERROR(VLOOKUP(A100,Selecionados!$B$2:$C$101,2,FALSE),"")</f>
        <v>75</v>
      </c>
      <c r="S100" s="33" t="str">
        <f>IFERROR(VLOOKUP(A100,Selecionados!$B$2:$D$101,3,FALSE),"")</f>
        <v>Actíno</v>
      </c>
      <c r="T100" s="32">
        <f>I100*(Selecionados!$Q$4/100)</f>
        <v>946.14108058927036</v>
      </c>
      <c r="U100" s="32">
        <f>I100*Selecionados!$I$4+(Selecionados!$K$6/100)*I100*Selecionados!$K$4+(Selecionados!$M$6/100)*I100*Selecionados!$M$6+(Selecionados!$P$6/100)*I100*Selecionados!$P$4</f>
        <v>31179.102025451077</v>
      </c>
    </row>
    <row r="101" spans="1:21" x14ac:dyDescent="0.25">
      <c r="A101" t="s">
        <v>29</v>
      </c>
      <c r="B101" t="s">
        <v>16</v>
      </c>
      <c r="C101">
        <v>2</v>
      </c>
      <c r="D101" s="34">
        <v>11</v>
      </c>
      <c r="E101" s="34">
        <v>12</v>
      </c>
      <c r="F101" s="34">
        <v>32</v>
      </c>
      <c r="H101" s="20" t="str">
        <f t="shared" si="3"/>
        <v xml:space="preserve">Albert Einstein </v>
      </c>
      <c r="I101" s="31">
        <f t="shared" si="4"/>
        <v>27382.847749214241</v>
      </c>
      <c r="J101" s="29">
        <f>100*((25-M101)/21)*((25-N101)/21)*((25-O101)/21)*((25-P101)/21)*((25-Q101)/21)*((25-L101)/21)</f>
        <v>100</v>
      </c>
      <c r="L101" s="20">
        <v>4</v>
      </c>
      <c r="M101" s="20">
        <v>4</v>
      </c>
      <c r="N101" s="20">
        <v>4</v>
      </c>
      <c r="O101" s="20">
        <v>4</v>
      </c>
      <c r="P101" s="20">
        <v>4</v>
      </c>
      <c r="Q101" s="20">
        <v>4</v>
      </c>
      <c r="R101" s="34">
        <f>IFERROR(VLOOKUP(A101,Selecionados!$B$2:$C$101,2,FALSE),"")</f>
        <v>81</v>
      </c>
      <c r="S101" s="33" t="str">
        <f>IFERROR(VLOOKUP(A101,Selecionados!$B$2:$D$101,3,FALSE),"")</f>
        <v>Índio do Cerrado</v>
      </c>
      <c r="T101" s="32">
        <f>I101*(Selecionados!$Q$4/100)</f>
        <v>909.11054527391013</v>
      </c>
      <c r="U101" s="32">
        <f>I101*Selecionados!$I$4+(Selecionados!$K$6/100)*I101*Selecionados!$K$4+(Selecionados!$M$6/100)*I101*Selecionados!$M$6+(Selecionados!$P$6/100)*I101*Selecionados!$P$4</f>
        <v>29958.798983609162</v>
      </c>
    </row>
    <row r="102" spans="1:21" x14ac:dyDescent="0.25">
      <c r="A102" t="s">
        <v>117</v>
      </c>
      <c r="B102" t="s">
        <v>87</v>
      </c>
      <c r="C102">
        <v>2</v>
      </c>
      <c r="D102" s="34">
        <v>17</v>
      </c>
      <c r="E102" s="34">
        <v>14</v>
      </c>
      <c r="F102" s="34">
        <v>35</v>
      </c>
      <c r="H102" s="20" t="str">
        <f t="shared" si="3"/>
        <v xml:space="preserve">Alexander M. Zaitsev </v>
      </c>
      <c r="I102" s="31">
        <f t="shared" si="4"/>
        <v>29308.829103681615</v>
      </c>
      <c r="J102" s="29">
        <f>100*((25-M102)/21)*((25-N102)/21)*((25-O102)/21)*((25-P102)/21)*((25-Q102)/21)*((25-L102)/21)</f>
        <v>100</v>
      </c>
      <c r="L102" s="20">
        <v>4</v>
      </c>
      <c r="M102" s="20">
        <v>4</v>
      </c>
      <c r="N102" s="20">
        <v>4</v>
      </c>
      <c r="O102" s="20">
        <v>4</v>
      </c>
      <c r="P102" s="20">
        <v>4</v>
      </c>
      <c r="Q102" s="20">
        <v>4</v>
      </c>
      <c r="R102" s="34">
        <f>IFERROR(VLOOKUP(A102,Selecionados!$B$2:$C$101,2,FALSE),"")</f>
        <v>59</v>
      </c>
      <c r="S102" s="33" t="str">
        <f>IFERROR(VLOOKUP(A102,Selecionados!$B$2:$D$101,3,FALSE),"")</f>
        <v>Alkadmiwm الكادميوم</v>
      </c>
      <c r="T102" s="32">
        <f>I102*(Selecionados!$Q$4/100)</f>
        <v>973.05312624222677</v>
      </c>
      <c r="U102" s="32">
        <f>I102*Selecionados!$I$4+(Selecionados!$K$6/100)*I102*Selecionados!$K$4+(Selecionados!$M$6/100)*I102*Selecionados!$M$6+(Selecionados!$P$6/100)*I102*Selecionados!$P$4</f>
        <v>32065.960692030196</v>
      </c>
    </row>
    <row r="103" spans="1:21" x14ac:dyDescent="0.25">
      <c r="A103" t="s">
        <v>118</v>
      </c>
      <c r="B103" t="s">
        <v>87</v>
      </c>
      <c r="C103">
        <v>1</v>
      </c>
      <c r="D103" s="34">
        <v>16</v>
      </c>
      <c r="E103" s="34">
        <v>13</v>
      </c>
      <c r="F103" s="34">
        <v>36</v>
      </c>
      <c r="H103" s="20" t="str">
        <f t="shared" si="3"/>
        <v xml:space="preserve">Alexander M. Butlerov </v>
      </c>
      <c r="I103" s="31">
        <f t="shared" si="4"/>
        <v>28933.560329470583</v>
      </c>
      <c r="J103" s="29">
        <f>100*((25-M103)/21)*((25-N103)/21)*((25-O103)/21)*((25-P103)/21)*((25-Q103)/21)*((25-L103)/21)</f>
        <v>100</v>
      </c>
      <c r="L103" s="20">
        <v>4</v>
      </c>
      <c r="M103" s="20">
        <v>4</v>
      </c>
      <c r="N103" s="20">
        <v>4</v>
      </c>
      <c r="O103" s="20">
        <v>4</v>
      </c>
      <c r="P103" s="20">
        <v>4</v>
      </c>
      <c r="Q103" s="20">
        <v>4</v>
      </c>
      <c r="R103" s="34" t="str">
        <f>IFERROR(VLOOKUP(A103,Selecionados!$B$2:$C$101,2,FALSE),"")</f>
        <v/>
      </c>
      <c r="S103" s="33" t="str">
        <f>IFERROR(VLOOKUP(A103,Selecionados!$B$2:$D$101,3,FALSE),"")</f>
        <v/>
      </c>
      <c r="T103" s="32">
        <f>I103*(Selecionados!$Q$4/100)</f>
        <v>960.59420293842061</v>
      </c>
      <c r="U103" s="32">
        <f>I103*Selecionados!$I$4+(Selecionados!$K$6/100)*I103*Selecionados!$K$4+(Selecionados!$M$6/100)*I103*Selecionados!$M$6+(Selecionados!$P$6/100)*I103*Selecionados!$P$4</f>
        <v>31655.389743589072</v>
      </c>
    </row>
    <row r="104" spans="1:21" x14ac:dyDescent="0.25">
      <c r="A104" t="s">
        <v>119</v>
      </c>
      <c r="B104" t="s">
        <v>87</v>
      </c>
      <c r="C104">
        <v>1</v>
      </c>
      <c r="D104" s="34">
        <v>13</v>
      </c>
      <c r="E104" s="34">
        <v>18</v>
      </c>
      <c r="F104" s="34">
        <v>30</v>
      </c>
      <c r="H104" s="20" t="str">
        <f t="shared" si="3"/>
        <v xml:space="preserve">Nikolai M. Kischner </v>
      </c>
      <c r="I104" s="31">
        <f t="shared" si="4"/>
        <v>28849.359850488345</v>
      </c>
      <c r="J104" s="29">
        <f>100*((25-M104)/21)*((25-N104)/21)*((25-O104)/21)*((25-P104)/21)*((25-Q104)/21)*((25-L104)/21)</f>
        <v>100</v>
      </c>
      <c r="L104" s="20">
        <v>4</v>
      </c>
      <c r="M104" s="20">
        <v>4</v>
      </c>
      <c r="N104" s="20">
        <v>4</v>
      </c>
      <c r="O104" s="20">
        <v>4</v>
      </c>
      <c r="P104" s="20">
        <v>4</v>
      </c>
      <c r="Q104" s="20">
        <v>4</v>
      </c>
      <c r="R104" s="34">
        <f>IFERROR(VLOOKUP(A104,Selecionados!$B$2:$C$101,2,FALSE),"")</f>
        <v>40</v>
      </c>
      <c r="S104" s="33" t="str">
        <f>IFERROR(VLOOKUP(A104,Selecionados!$B$2:$D$101,3,FALSE),"")</f>
        <v>Omïkron</v>
      </c>
      <c r="T104" s="32">
        <f>I104*(Selecionados!$Q$4/100)</f>
        <v>957.79874703621022</v>
      </c>
      <c r="U104" s="32">
        <f>I104*Selecionados!$I$4+(Selecionados!$K$6/100)*I104*Selecionados!$K$4+(Selecionados!$M$6/100)*I104*Selecionados!$M$6+(Selecionados!$P$6/100)*I104*Selecionados!$P$4</f>
        <v>31563.268381806134</v>
      </c>
    </row>
    <row r="105" spans="1:21" x14ac:dyDescent="0.25">
      <c r="A105" t="s">
        <v>120</v>
      </c>
      <c r="B105" t="s">
        <v>109</v>
      </c>
      <c r="C105">
        <v>1</v>
      </c>
      <c r="D105" s="34">
        <v>15</v>
      </c>
      <c r="E105" s="34">
        <v>14</v>
      </c>
      <c r="F105" s="34">
        <v>34</v>
      </c>
      <c r="H105" s="20" t="str">
        <f t="shared" si="3"/>
        <v xml:space="preserve">Knut Emil Lundmark </v>
      </c>
      <c r="I105" s="31">
        <f t="shared" si="4"/>
        <v>28829.508563540461</v>
      </c>
      <c r="J105" s="29">
        <f>100*((25-M105)/21)*((25-N105)/21)*((25-O105)/21)*((25-P105)/21)*((25-Q105)/21)*((25-L105)/21)</f>
        <v>100</v>
      </c>
      <c r="L105" s="20">
        <v>4</v>
      </c>
      <c r="M105" s="20">
        <v>4</v>
      </c>
      <c r="N105" s="20">
        <v>4</v>
      </c>
      <c r="O105" s="20">
        <v>4</v>
      </c>
      <c r="P105" s="20">
        <v>4</v>
      </c>
      <c r="Q105" s="20">
        <v>4</v>
      </c>
      <c r="R105" s="34">
        <f>IFERROR(VLOOKUP(A105,Selecionados!$B$2:$C$101,2,FALSE),"")</f>
        <v>61</v>
      </c>
      <c r="S105" s="33" t="str">
        <f>IFERROR(VLOOKUP(A105,Selecionados!$B$2:$D$101,3,FALSE),"")</f>
        <v>Q. bin Hamid حامض</v>
      </c>
      <c r="T105" s="32">
        <f>I105*(Selecionados!$Q$4/100)</f>
        <v>957.13968430954048</v>
      </c>
      <c r="U105" s="32">
        <f>I105*Selecionados!$I$4+(Selecionados!$K$6/100)*I105*Selecionados!$K$4+(Selecionados!$M$6/100)*I105*Selecionados!$M$6+(Selecionados!$P$6/100)*I105*Selecionados!$P$4</f>
        <v>31541.549650405941</v>
      </c>
    </row>
    <row r="106" spans="1:21" x14ac:dyDescent="0.25">
      <c r="A106" t="s">
        <v>121</v>
      </c>
      <c r="B106" t="s">
        <v>11</v>
      </c>
      <c r="C106">
        <v>2</v>
      </c>
      <c r="D106" s="34">
        <v>16</v>
      </c>
      <c r="E106" s="34">
        <v>13</v>
      </c>
      <c r="F106" s="34">
        <v>32</v>
      </c>
      <c r="H106" s="20" t="str">
        <f t="shared" si="3"/>
        <v xml:space="preserve">Louis Pasteur </v>
      </c>
      <c r="I106" s="31">
        <f t="shared" si="4"/>
        <v>28847.783749475537</v>
      </c>
      <c r="J106" s="29">
        <f>100*((25-M106)/21)*((25-N106)/21)*((25-O106)/21)*((25-P106)/21)*((25-Q106)/21)*((25-L106)/21)</f>
        <v>100</v>
      </c>
      <c r="L106" s="20">
        <v>4</v>
      </c>
      <c r="M106" s="20">
        <v>4</v>
      </c>
      <c r="N106" s="20">
        <v>4</v>
      </c>
      <c r="O106" s="20">
        <v>4</v>
      </c>
      <c r="P106" s="20">
        <v>4</v>
      </c>
      <c r="Q106" s="20">
        <v>4</v>
      </c>
      <c r="R106" s="34">
        <f>IFERROR(VLOOKUP(A106,Selecionados!$B$2:$C$101,2,FALSE),"")</f>
        <v>94</v>
      </c>
      <c r="S106" s="33" t="str">
        <f>IFERROR(VLOOKUP(A106,Selecionados!$B$2:$D$101,3,FALSE),"")</f>
        <v>Yǒu 铕銪</v>
      </c>
      <c r="T106" s="32">
        <f>I106*(Selecionados!$Q$4/100)</f>
        <v>957.74642048258499</v>
      </c>
      <c r="U106" s="32">
        <f>I106*Selecionados!$I$4+(Selecionados!$K$6/100)*I106*Selecionados!$K$4+(Selecionados!$M$6/100)*I106*Selecionados!$M$6+(Selecionados!$P$6/100)*I106*Selecionados!$P$4</f>
        <v>31561.544014280411</v>
      </c>
    </row>
    <row r="107" spans="1:21" x14ac:dyDescent="0.25">
      <c r="A107" t="s">
        <v>122</v>
      </c>
      <c r="B107" t="s">
        <v>87</v>
      </c>
      <c r="C107">
        <v>1</v>
      </c>
      <c r="D107" s="34">
        <v>13</v>
      </c>
      <c r="E107" s="34">
        <v>14</v>
      </c>
      <c r="F107" s="34">
        <v>28</v>
      </c>
      <c r="H107" s="20" t="str">
        <f t="shared" si="3"/>
        <v xml:space="preserve">Aleksandr Ivanovich Oparin </v>
      </c>
      <c r="I107" s="31">
        <f t="shared" si="4"/>
        <v>28190.63664940279</v>
      </c>
      <c r="J107" s="29">
        <f>100*((25-M107)/21)*((25-N107)/21)*((25-O107)/21)*((25-P107)/21)*((25-Q107)/21)*((25-L107)/21)</f>
        <v>100</v>
      </c>
      <c r="L107" s="20">
        <v>4</v>
      </c>
      <c r="M107" s="20">
        <v>4</v>
      </c>
      <c r="N107" s="20">
        <v>4</v>
      </c>
      <c r="O107" s="20">
        <v>4</v>
      </c>
      <c r="P107" s="20">
        <v>4</v>
      </c>
      <c r="Q107" s="20">
        <v>4</v>
      </c>
      <c r="R107" s="34">
        <f>IFERROR(VLOOKUP(A107,Selecionados!$B$2:$C$101,2,FALSE),"")</f>
        <v>4</v>
      </c>
      <c r="S107" s="33" t="str">
        <f>IFERROR(VLOOKUP(A107,Selecionados!$B$2:$D$101,3,FALSE),"")</f>
        <v>Rênio de Deus</v>
      </c>
      <c r="T107" s="32">
        <f>I107*(Selecionados!$Q$4/100)</f>
        <v>935.92913676016985</v>
      </c>
      <c r="U107" s="32">
        <f>I107*Selecionados!$I$4+(Selecionados!$K$6/100)*I107*Selecionados!$K$4+(Selecionados!$M$6/100)*I107*Selecionados!$M$6+(Selecionados!$P$6/100)*I107*Selecionados!$P$4</f>
        <v>30842.577964655204</v>
      </c>
    </row>
    <row r="108" spans="1:21" x14ac:dyDescent="0.25">
      <c r="A108" t="s">
        <v>123</v>
      </c>
      <c r="B108" t="s">
        <v>14</v>
      </c>
      <c r="C108">
        <v>2</v>
      </c>
      <c r="D108" s="34">
        <v>11</v>
      </c>
      <c r="E108" s="34">
        <v>14</v>
      </c>
      <c r="F108" s="34">
        <v>30</v>
      </c>
      <c r="H108" s="20" t="str">
        <f t="shared" si="3"/>
        <v xml:space="preserve">John Tyndall </v>
      </c>
      <c r="I108" s="31">
        <f t="shared" si="4"/>
        <v>27688.81617789403</v>
      </c>
      <c r="J108" s="29">
        <f>100*((25-M108)/21)*((25-N108)/21)*((25-O108)/21)*((25-P108)/21)*((25-Q108)/21)*((25-L108)/21)</f>
        <v>100</v>
      </c>
      <c r="L108" s="20">
        <v>4</v>
      </c>
      <c r="M108" s="20">
        <v>4</v>
      </c>
      <c r="N108" s="20">
        <v>4</v>
      </c>
      <c r="O108" s="20">
        <v>4</v>
      </c>
      <c r="P108" s="20">
        <v>4</v>
      </c>
      <c r="Q108" s="20">
        <v>4</v>
      </c>
      <c r="R108" s="34">
        <f>IFERROR(VLOOKUP(A108,Selecionados!$B$2:$C$101,2,FALSE),"")</f>
        <v>0</v>
      </c>
      <c r="S108" s="33" t="str">
        <f>IFERROR(VLOOKUP(A108,Selecionados!$B$2:$D$101,3,FALSE),"")</f>
        <v>Rubidium</v>
      </c>
      <c r="T108" s="32">
        <f>I108*(Selecionados!$Q$4/100)</f>
        <v>919.26869710607912</v>
      </c>
      <c r="U108" s="32">
        <f>I108*Selecionados!$I$4+(Selecionados!$K$6/100)*I108*Selecionados!$K$4+(Selecionados!$M$6/100)*I108*Selecionados!$M$6+(Selecionados!$P$6/100)*I108*Selecionados!$P$4</f>
        <v>30293.550384708837</v>
      </c>
    </row>
    <row r="109" spans="1:21" x14ac:dyDescent="0.25">
      <c r="A109" t="s">
        <v>124</v>
      </c>
      <c r="B109" t="s">
        <v>33</v>
      </c>
      <c r="C109">
        <v>2</v>
      </c>
      <c r="D109" s="34">
        <v>14</v>
      </c>
      <c r="E109" s="34">
        <v>11</v>
      </c>
      <c r="F109" s="34">
        <v>32</v>
      </c>
      <c r="H109" s="20" t="str">
        <f t="shared" si="3"/>
        <v xml:space="preserve">Linus C. Pauling </v>
      </c>
      <c r="I109" s="31">
        <f t="shared" si="4"/>
        <v>27997.127048337781</v>
      </c>
      <c r="J109" s="29">
        <f>100*((25-M109)/21)*((25-N109)/21)*((25-O109)/21)*((25-P109)/21)*((25-Q109)/21)*((25-L109)/21)</f>
        <v>100</v>
      </c>
      <c r="L109" s="20">
        <v>4</v>
      </c>
      <c r="M109" s="20">
        <v>4</v>
      </c>
      <c r="N109" s="20">
        <v>4</v>
      </c>
      <c r="O109" s="20">
        <v>4</v>
      </c>
      <c r="P109" s="20">
        <v>4</v>
      </c>
      <c r="Q109" s="20">
        <v>4</v>
      </c>
      <c r="R109" s="34">
        <f>IFERROR(VLOOKUP(A109,Selecionados!$B$2:$C$101,2,FALSE),"")</f>
        <v>31</v>
      </c>
      <c r="S109" s="33" t="str">
        <f>IFERROR(VLOOKUP(A109,Selecionados!$B$2:$D$101,3,FALSE),"")</f>
        <v>Jiā 鉿</v>
      </c>
      <c r="T109" s="32">
        <f>I109*(Selecionados!$Q$4/100)</f>
        <v>929.50461800481162</v>
      </c>
      <c r="U109" s="32">
        <f>I109*Selecionados!$I$4+(Selecionados!$K$6/100)*I109*Selecionados!$K$4+(Selecionados!$M$6/100)*I109*Selecionados!$M$6+(Selecionados!$P$6/100)*I109*Selecionados!$P$4</f>
        <v>30630.86458506811</v>
      </c>
    </row>
    <row r="110" spans="1:21" x14ac:dyDescent="0.25">
      <c r="A110" t="s">
        <v>125</v>
      </c>
      <c r="B110" t="s">
        <v>25</v>
      </c>
      <c r="C110">
        <v>1</v>
      </c>
      <c r="D110" s="34">
        <v>10</v>
      </c>
      <c r="E110" s="34">
        <v>18</v>
      </c>
      <c r="F110" s="34">
        <v>34</v>
      </c>
      <c r="H110" s="20" t="str">
        <f t="shared" si="3"/>
        <v xml:space="preserve">Ernst Mach </v>
      </c>
      <c r="I110" s="31">
        <f t="shared" si="4"/>
        <v>28088.85946470928</v>
      </c>
      <c r="J110" s="29">
        <f>100*((25-M110)/21)*((25-N110)/21)*((25-O110)/21)*((25-P110)/21)*((25-Q110)/21)*((25-L110)/21)</f>
        <v>100</v>
      </c>
      <c r="L110" s="20">
        <v>4</v>
      </c>
      <c r="M110" s="20">
        <v>4</v>
      </c>
      <c r="N110" s="20">
        <v>4</v>
      </c>
      <c r="O110" s="20">
        <v>4</v>
      </c>
      <c r="P110" s="20">
        <v>4</v>
      </c>
      <c r="Q110" s="20">
        <v>4</v>
      </c>
      <c r="R110" s="34">
        <f>IFERROR(VLOOKUP(A110,Selecionados!$B$2:$C$101,2,FALSE),"")</f>
        <v>96</v>
      </c>
      <c r="S110" s="33" t="str">
        <f>IFERROR(VLOOKUP(A110,Selecionados!$B$2:$D$101,3,FALSE),"")</f>
        <v>Rutén</v>
      </c>
      <c r="T110" s="32">
        <f>I110*(Selecionados!$Q$4/100)</f>
        <v>932.55013422834531</v>
      </c>
      <c r="U110" s="32">
        <f>I110*Selecionados!$I$4+(Selecionados!$K$6/100)*I110*Selecionados!$K$4+(Selecionados!$M$6/100)*I110*Selecionados!$M$6+(Selecionados!$P$6/100)*I110*Selecionados!$P$4</f>
        <v>30731.226426448658</v>
      </c>
    </row>
    <row r="111" spans="1:21" x14ac:dyDescent="0.25">
      <c r="A111" t="s">
        <v>126</v>
      </c>
      <c r="B111" t="s">
        <v>25</v>
      </c>
      <c r="C111">
        <v>2</v>
      </c>
      <c r="D111" s="34">
        <v>11</v>
      </c>
      <c r="E111" s="34">
        <v>9</v>
      </c>
      <c r="F111" s="34">
        <v>37</v>
      </c>
      <c r="H111" s="20" t="str">
        <f t="shared" si="3"/>
        <v xml:space="preserve">Ludwig E. Boltzmann </v>
      </c>
      <c r="I111" s="31">
        <f t="shared" si="4"/>
        <v>26871.717983759143</v>
      </c>
      <c r="J111" s="29">
        <f>100*((25-M111)/21)*((25-N111)/21)*((25-O111)/21)*((25-P111)/21)*((25-Q111)/21)*((25-L111)/21)</f>
        <v>100</v>
      </c>
      <c r="L111" s="20">
        <v>4</v>
      </c>
      <c r="M111" s="20">
        <v>4</v>
      </c>
      <c r="N111" s="20">
        <v>4</v>
      </c>
      <c r="O111" s="20">
        <v>4</v>
      </c>
      <c r="P111" s="20">
        <v>4</v>
      </c>
      <c r="Q111" s="20">
        <v>4</v>
      </c>
      <c r="R111" s="34">
        <f>IFERROR(VLOOKUP(A111,Selecionados!$B$2:$C$101,2,FALSE),"")</f>
        <v>77</v>
      </c>
      <c r="S111" s="33" t="str">
        <f>IFERROR(VLOOKUP(A111,Selecionados!$B$2:$D$101,3,FALSE),"")</f>
        <v>Livermório</v>
      </c>
      <c r="T111" s="32">
        <f>I111*(Selecionados!$Q$4/100)</f>
        <v>892.14103706080095</v>
      </c>
      <c r="U111" s="32">
        <f>I111*Selecionados!$I$4+(Selecionados!$K$6/100)*I111*Selecionados!$K$4+(Selecionados!$M$6/100)*I111*Selecionados!$M$6+(Selecionados!$P$6/100)*I111*Selecionados!$P$4</f>
        <v>29399.586368542565</v>
      </c>
    </row>
    <row r="112" spans="1:21" x14ac:dyDescent="0.25">
      <c r="A112" t="s">
        <v>127</v>
      </c>
      <c r="B112" t="s">
        <v>38</v>
      </c>
      <c r="C112">
        <v>2</v>
      </c>
      <c r="D112" s="34">
        <v>14</v>
      </c>
      <c r="E112" s="34">
        <v>9</v>
      </c>
      <c r="F112" s="34">
        <v>28</v>
      </c>
      <c r="H112" s="20" t="str">
        <f t="shared" si="3"/>
        <v xml:space="preserve">Zenão de Cítio </v>
      </c>
      <c r="I112" s="31">
        <f t="shared" si="4"/>
        <v>27476.44316088406</v>
      </c>
      <c r="J112" s="29">
        <f>100*((25-M112)/21)*((25-N112)/21)*((25-O112)/21)*((25-P112)/21)*((25-Q112)/21)*((25-L112)/21)</f>
        <v>100</v>
      </c>
      <c r="L112" s="20">
        <v>4</v>
      </c>
      <c r="M112" s="20">
        <v>4</v>
      </c>
      <c r="N112" s="20">
        <v>4</v>
      </c>
      <c r="O112" s="20">
        <v>4</v>
      </c>
      <c r="P112" s="20">
        <v>4</v>
      </c>
      <c r="Q112" s="20">
        <v>4</v>
      </c>
      <c r="R112" s="34">
        <f>IFERROR(VLOOKUP(A112,Selecionados!$B$2:$C$101,2,FALSE),"")</f>
        <v>46</v>
      </c>
      <c r="S112" s="33" t="str">
        <f>IFERROR(VLOOKUP(A112,Selecionados!$B$2:$D$101,3,FALSE),"")</f>
        <v>Selênio Gomes</v>
      </c>
      <c r="T112" s="32">
        <f>I112*(Selecionados!$Q$4/100)</f>
        <v>912.21791294134812</v>
      </c>
      <c r="U112" s="32">
        <f>I112*Selecionados!$I$4+(Selecionados!$K$6/100)*I112*Selecionados!$K$4+(Selecionados!$M$6/100)*I112*Selecionados!$M$6+(Selecionados!$P$6/100)*I112*Selecionados!$P$4</f>
        <v>30061.199075436161</v>
      </c>
    </row>
    <row r="113" spans="1:21" x14ac:dyDescent="0.25">
      <c r="A113" t="s">
        <v>128</v>
      </c>
      <c r="B113" t="s">
        <v>38</v>
      </c>
      <c r="C113">
        <v>1</v>
      </c>
      <c r="D113" s="34">
        <v>14</v>
      </c>
      <c r="E113" s="34">
        <v>15</v>
      </c>
      <c r="F113" s="34">
        <v>34</v>
      </c>
      <c r="H113" s="20" t="str">
        <f t="shared" si="3"/>
        <v xml:space="preserve">Leucipo de Abdera </v>
      </c>
      <c r="I113" s="31">
        <f t="shared" si="4"/>
        <v>28748.559585975087</v>
      </c>
      <c r="J113" s="29">
        <f>100*((25-M113)/21)*((25-N113)/21)*((25-O113)/21)*((25-P113)/21)*((25-Q113)/21)*((25-L113)/21)</f>
        <v>100</v>
      </c>
      <c r="L113" s="20">
        <v>4</v>
      </c>
      <c r="M113" s="20">
        <v>4</v>
      </c>
      <c r="N113" s="20">
        <v>4</v>
      </c>
      <c r="O113" s="20">
        <v>4</v>
      </c>
      <c r="P113" s="20">
        <v>4</v>
      </c>
      <c r="Q113" s="20">
        <v>4</v>
      </c>
      <c r="R113" s="34">
        <f>IFERROR(VLOOKUP(A113,Selecionados!$B$2:$C$101,2,FALSE),"")</f>
        <v>53</v>
      </c>
      <c r="S113" s="33" t="str">
        <f>IFERROR(VLOOKUP(A113,Selecionados!$B$2:$D$101,3,FALSE),"")</f>
        <v>Sigma do Oriente</v>
      </c>
      <c r="T113" s="32">
        <f>I113*(Selecionados!$Q$4/100)</f>
        <v>954.4521782543701</v>
      </c>
      <c r="U113" s="32">
        <f>I113*Selecionados!$I$4+(Selecionados!$K$6/100)*I113*Selecionados!$K$4+(Selecionados!$M$6/100)*I113*Selecionados!$M$6+(Selecionados!$P$6/100)*I113*Selecionados!$P$4</f>
        <v>31452.985664328953</v>
      </c>
    </row>
  </sheetData>
  <mergeCells count="1">
    <mergeCell ref="L1:Q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R126"/>
  <sheetViews>
    <sheetView topLeftCell="D1" workbookViewId="0">
      <selection activeCell="O10" sqref="O10"/>
    </sheetView>
  </sheetViews>
  <sheetFormatPr defaultRowHeight="15" x14ac:dyDescent="0.25"/>
  <cols>
    <col min="1" max="1" width="22" customWidth="1"/>
    <col min="2" max="2" width="17.5703125" customWidth="1"/>
    <col min="3" max="3" width="10.85546875" style="29" customWidth="1"/>
    <col min="4" max="8" width="9.140625" style="29"/>
    <col min="9" max="9" width="20.28515625" style="33" customWidth="1"/>
    <col min="10" max="10" width="10.7109375" style="29" customWidth="1"/>
    <col min="11" max="11" width="14.7109375" style="29" customWidth="1"/>
    <col min="12" max="12" width="25.7109375" style="33" customWidth="1"/>
    <col min="13" max="13" width="15.7109375" bestFit="1" customWidth="1"/>
    <col min="14" max="14" width="15" style="34" bestFit="1" customWidth="1"/>
  </cols>
  <sheetData>
    <row r="1" spans="1:18" ht="60.75" customHeight="1" x14ac:dyDescent="0.3">
      <c r="A1" s="42" t="s">
        <v>131</v>
      </c>
      <c r="B1" s="42" t="s">
        <v>130</v>
      </c>
      <c r="C1" s="42" t="s">
        <v>501</v>
      </c>
      <c r="D1" s="42" t="s">
        <v>618</v>
      </c>
      <c r="E1" s="42" t="s">
        <v>619</v>
      </c>
      <c r="F1" s="42" t="s">
        <v>620</v>
      </c>
      <c r="G1" s="42" t="s">
        <v>502</v>
      </c>
      <c r="H1" s="42" t="s">
        <v>503</v>
      </c>
      <c r="I1" s="42" t="s">
        <v>504</v>
      </c>
      <c r="J1" s="42" t="s">
        <v>469</v>
      </c>
      <c r="K1" s="42" t="s">
        <v>640</v>
      </c>
      <c r="L1" s="42" t="s">
        <v>505</v>
      </c>
      <c r="M1" s="41" t="s">
        <v>639</v>
      </c>
      <c r="N1" s="50" t="s">
        <v>641</v>
      </c>
    </row>
    <row r="2" spans="1:18" x14ac:dyDescent="0.25">
      <c r="A2" t="s">
        <v>526</v>
      </c>
      <c r="B2" t="s">
        <v>161</v>
      </c>
      <c r="C2" s="29">
        <v>1</v>
      </c>
      <c r="D2" s="29">
        <v>12</v>
      </c>
      <c r="E2" s="29">
        <v>16</v>
      </c>
      <c r="F2" s="29">
        <v>13</v>
      </c>
      <c r="G2" s="29">
        <v>41</v>
      </c>
      <c r="I2" s="33" t="str">
        <f>CONCATENATE(A2," ",IF(H2=0,"",ROMAN(H2+1)))</f>
        <v xml:space="preserve">Natrío </v>
      </c>
      <c r="J2" s="29">
        <v>12</v>
      </c>
      <c r="K2" s="32">
        <f>50000+IF(L2="",20000,35000*(VLOOKUP(L2,Jockey!$A$2:$J$113,10,FALSE)/100)^0.7)*(D2/LARGE($D$2:$D$126,1))^0.8*(E2/LARGE($E$2:$E$126,1))^0.1*(F2/LARGE($F$2:$F$126,1))^0.6*(G2/LARGE($G$2:$G$126,1))^0.35*(1+(LARGE($J$2:$J$126,1)-J2)/LARGE($J$2:$J$126,1))^0.105</f>
        <v>67048.367414788619</v>
      </c>
      <c r="L2" s="33" t="str">
        <f>IFERROR(VLOOKUP(A2,Selecionados!$D$2:$E$101,2,FALSE),"")</f>
        <v>CG Kirkbride</v>
      </c>
      <c r="M2" s="32">
        <f>K2*(Selecionados!$Q$4/100)</f>
        <v>2226.0057981709756</v>
      </c>
      <c r="N2" s="32">
        <f>K2*Selecionados!$I$4+(Selecionados!$N$5/100)*K2*Selecionados!$N$4+(Selecionados!$J$5/100)*K2*Selecionados!$J$4</f>
        <v>71852.245935191444</v>
      </c>
    </row>
    <row r="3" spans="1:18" x14ac:dyDescent="0.25">
      <c r="A3" t="s">
        <v>527</v>
      </c>
      <c r="B3" t="s">
        <v>33</v>
      </c>
      <c r="C3" s="29">
        <v>1</v>
      </c>
      <c r="D3" s="29">
        <v>14</v>
      </c>
      <c r="E3" s="29">
        <v>14</v>
      </c>
      <c r="F3" s="29">
        <v>14</v>
      </c>
      <c r="G3" s="29">
        <v>36</v>
      </c>
      <c r="I3" s="33" t="str">
        <f t="shared" ref="I3:I66" si="0">CONCATENATE(A3," ",IF(H3=0,"",ROMAN(H3+1)))</f>
        <v xml:space="preserve">Lithium </v>
      </c>
      <c r="J3" s="29">
        <v>9</v>
      </c>
      <c r="K3" s="32">
        <f>50000+IF(L3="",20000,35000*(VLOOKUP(L3,Jockey!$A$2:$J$113,10,FALSE)/100)^0.7)*(D3/LARGE($D$2:$D$126,1))^0.8*(E3/LARGE($E$2:$E$126,1))^0.1*(F3/LARGE($F$2:$F$126,1))^0.6*(G3/LARGE($G$2:$G$126,1))^0.35*(1+(LARGE($J$2:$J$126,1)-J3)/LARGE($J$2:$J$126,1))^0.105</f>
        <v>69356.190994289442</v>
      </c>
      <c r="L3" s="33" t="str">
        <f>IFERROR(VLOOKUP(A3,Selecionados!$D$2:$E$101,2,FALSE),"")</f>
        <v>Ostwald Fenske</v>
      </c>
      <c r="M3" s="32">
        <f>K3*(Selecionados!$Q$4/100)</f>
        <v>2302.6255410104027</v>
      </c>
      <c r="N3" s="32">
        <f>K3*Selecionados!$I$4+(Selecionados!$N$5/100)*K3*Selecionados!$N$4+(Selecionados!$J$5/100)*K3*Selecionados!$J$4</f>
        <v>74325.420358417599</v>
      </c>
      <c r="R3" s="1">
        <f ca="1">RANDBETWEEN(1,130)</f>
        <v>38</v>
      </c>
    </row>
    <row r="4" spans="1:18" x14ac:dyDescent="0.25">
      <c r="A4" t="s">
        <v>528</v>
      </c>
      <c r="B4" t="s">
        <v>33</v>
      </c>
      <c r="C4" s="29">
        <v>2</v>
      </c>
      <c r="D4" s="29">
        <v>11</v>
      </c>
      <c r="E4" s="29">
        <v>11</v>
      </c>
      <c r="F4" s="29">
        <v>10</v>
      </c>
      <c r="G4" s="29">
        <v>42</v>
      </c>
      <c r="I4" s="33" t="str">
        <f t="shared" si="0"/>
        <v xml:space="preserve">Beryllium </v>
      </c>
      <c r="J4" s="29">
        <v>8</v>
      </c>
      <c r="K4" s="32">
        <f>50000+IF(L4="",20000,35000*(VLOOKUP(L4,Jockey!$A$2:$J$113,10,FALSE)/100)^0.7)*(D4/LARGE($D$2:$D$126,1))^0.8*(E4/LARGE($E$2:$E$126,1))^0.1*(F4/LARGE($F$2:$F$126,1))^0.6*(G4/LARGE($G$2:$G$126,1))^0.35*(1+(LARGE($J$2:$J$126,1)-J4)/LARGE($J$2:$J$126,1))^0.105</f>
        <v>63509.885234372639</v>
      </c>
      <c r="L4" s="33" t="str">
        <f>IFERROR(VLOOKUP(A4,Selecionados!$D$2:$E$101,2,FALSE),"")</f>
        <v>Blaise Pascal</v>
      </c>
      <c r="M4" s="32">
        <f>K4*(Selecionados!$Q$4/100)</f>
        <v>2108.5281897811656</v>
      </c>
      <c r="N4" s="32">
        <f>K4*Selecionados!$I$4+(Selecionados!$N$5/100)*K4*Selecionados!$N$4+(Selecionados!$J$5/100)*K4*Selecionados!$J$4</f>
        <v>68060.238736989864</v>
      </c>
      <c r="R4" t="str">
        <f ca="1">IF(R3&lt;Mercados!C2,Mercados!A2,IF(R3&lt;SUM(Mercados!C2:C3),Mercados!A3,IF(R3&lt;SUM(Mercados!C2:C4),Mercados!A4,IF(R3&lt;SUM(Mercados!C2:C5),Mercados!A5,IF(R3&lt;SUM(Mercados!C2:C6),Mercados!A6,IF(R3&lt;SUM(Mercados!C2:C7),Mercados!A7,IF(R3&lt;SUM(Mercados!C2:C8),Mercados!A8,IF(R3&lt;SUM(Mercados!C2:C9),Mercados!A9,IF(R3&lt;SUM(Mercados!C2:C10),Mercados!A10,Mercados!A11)))))))))</f>
        <v>China</v>
      </c>
    </row>
    <row r="5" spans="1:18" x14ac:dyDescent="0.25">
      <c r="A5" t="s">
        <v>587</v>
      </c>
      <c r="B5" t="s">
        <v>160</v>
      </c>
      <c r="C5" s="29">
        <v>1</v>
      </c>
      <c r="D5" s="29">
        <v>14</v>
      </c>
      <c r="E5" s="29">
        <v>15</v>
      </c>
      <c r="F5" s="29">
        <v>18</v>
      </c>
      <c r="G5" s="29">
        <v>56</v>
      </c>
      <c r="I5" s="33" t="str">
        <f t="shared" si="0"/>
        <v xml:space="preserve">Bō luó 波罗 </v>
      </c>
      <c r="J5" s="29">
        <v>12</v>
      </c>
      <c r="K5" s="32">
        <f>50000+IF(L5="",20000,35000*(VLOOKUP(L5,Jockey!$A$2:$J$113,10,FALSE)/100)^0.7)*(D5/LARGE($D$2:$D$126,1))^0.8*(E5/LARGE($E$2:$E$126,1))^0.1*(F5/LARGE($F$2:$F$126,1))^0.6*(G5/LARGE($G$2:$G$126,1))^0.35*(1+(LARGE($J$2:$J$126,1)-J5)/LARGE($J$2:$J$126,1))^0.105</f>
        <v>75979.231926261709</v>
      </c>
      <c r="L5" s="33" t="str">
        <f>IFERROR(VLOOKUP(A5,Selecionados!$D$2:$E$101,2,FALSE),"")</f>
        <v>B'Paul-Émile Clapeyron</v>
      </c>
      <c r="M5" s="32">
        <f>K5*(Selecionados!$Q$4/100)</f>
        <v>2522.5104999518812</v>
      </c>
      <c r="N5" s="32">
        <f>K5*Selecionados!$I$4+(Selecionados!$N$5/100)*K5*Selecionados!$N$4+(Selecionados!$J$5/100)*K5*Selecionados!$J$4</f>
        <v>81422.988639818417</v>
      </c>
    </row>
    <row r="6" spans="1:18" x14ac:dyDescent="0.25">
      <c r="A6" t="s">
        <v>529</v>
      </c>
      <c r="B6" t="s">
        <v>33</v>
      </c>
      <c r="C6" s="29">
        <v>2</v>
      </c>
      <c r="D6" s="29">
        <v>13</v>
      </c>
      <c r="E6" s="29">
        <v>13</v>
      </c>
      <c r="F6" s="29">
        <v>9</v>
      </c>
      <c r="G6" s="29">
        <v>37</v>
      </c>
      <c r="I6" s="33" t="str">
        <f t="shared" si="0"/>
        <v xml:space="preserve">Helium </v>
      </c>
      <c r="J6" s="29">
        <v>8</v>
      </c>
      <c r="K6" s="32">
        <f>50000+IF(L6="",20000,35000*(VLOOKUP(L6,Jockey!$A$2:$J$113,10,FALSE)/100)^0.7)*(D6/LARGE($D$2:$D$126,1))^0.8*(E6/LARGE($E$2:$E$126,1))^0.1*(F6/LARGE($F$2:$F$126,1))^0.6*(G6/LARGE($G$2:$G$126,1))^0.35*(1+(LARGE($J$2:$J$126,1)-J6)/LARGE($J$2:$J$126,1))^0.105</f>
        <v>64100.227427999416</v>
      </c>
      <c r="L6" s="33" t="str">
        <f>IFERROR(VLOOKUP(A6,Selecionados!$D$2:$E$101,2,FALSE),"")</f>
        <v>Aage N. Bohr</v>
      </c>
      <c r="M6" s="32">
        <f>K6*(Selecionados!$Q$4/100)</f>
        <v>2128.1275506095744</v>
      </c>
      <c r="N6" s="32">
        <f>K6*Selecionados!$I$4+(Selecionados!$N$5/100)*K6*Selecionados!$N$4+(Selecionados!$J$5/100)*K6*Selecionados!$J$4</f>
        <v>68692.877742500321</v>
      </c>
    </row>
    <row r="7" spans="1:18" x14ac:dyDescent="0.25">
      <c r="A7" t="s">
        <v>510</v>
      </c>
      <c r="B7" t="s">
        <v>161</v>
      </c>
      <c r="C7" s="29">
        <v>1</v>
      </c>
      <c r="D7" s="29">
        <v>12</v>
      </c>
      <c r="E7" s="29">
        <v>14</v>
      </c>
      <c r="F7" s="29">
        <v>16</v>
      </c>
      <c r="G7" s="29">
        <v>73</v>
      </c>
      <c r="I7" s="33" t="str">
        <f t="shared" si="0"/>
        <v xml:space="preserve">Magnesi </v>
      </c>
      <c r="J7" s="29">
        <v>10</v>
      </c>
      <c r="K7" s="32">
        <f>50000+IF(L7="",20000,35000*(VLOOKUP(L7,Jockey!$A$2:$J$113,10,FALSE)/100)^0.7)*(D7/LARGE($D$2:$D$126,1))^0.8*(E7/LARGE($E$2:$E$126,1))^0.1*(F7/LARGE($F$2:$F$126,1))^0.6*(G7/LARGE($G$2:$G$126,1))^0.35*(1+(LARGE($J$2:$J$126,1)-J7)/LARGE($J$2:$J$126,1))^0.105</f>
        <v>73607.459102293113</v>
      </c>
      <c r="L7" s="33" t="str">
        <f>IFERROR(VLOOKUP(A7,Selecionados!$D$2:$E$101,2,FALSE),"")</f>
        <v>François-Marie Raoult</v>
      </c>
      <c r="M7" s="32">
        <f>K7*(Selecionados!$Q$4/100)</f>
        <v>2443.7676421961241</v>
      </c>
      <c r="N7" s="32">
        <f>K7*Selecionados!$I$4+(Selecionados!$N$5/100)*K7*Selecionados!$N$4+(Selecionados!$J$5/100)*K7*Selecionados!$J$4</f>
        <v>78881.283139430539</v>
      </c>
    </row>
    <row r="8" spans="1:18" x14ac:dyDescent="0.25">
      <c r="A8" t="s">
        <v>588</v>
      </c>
      <c r="B8" t="s">
        <v>160</v>
      </c>
      <c r="C8" s="29">
        <v>2</v>
      </c>
      <c r="D8" s="29">
        <v>9</v>
      </c>
      <c r="E8" s="29">
        <v>16</v>
      </c>
      <c r="F8" s="29">
        <v>18</v>
      </c>
      <c r="G8" s="29">
        <v>69</v>
      </c>
      <c r="I8" s="33" t="str">
        <f t="shared" si="0"/>
        <v xml:space="preserve">Fú 氟 </v>
      </c>
      <c r="J8" s="29">
        <v>12</v>
      </c>
      <c r="K8" s="32">
        <f>50000+IF(L8="",20000,35000*(VLOOKUP(L8,Jockey!$A$2:$J$113,10,FALSE)/100)^0.7)*(D8/LARGE($D$2:$D$126,1))^0.8*(E8/LARGE($E$2:$E$126,1))^0.1*(F8/LARGE($F$2:$F$126,1))^0.6*(G8/LARGE($G$2:$G$126,1))^0.35*(1+(LARGE($J$2:$J$126,1)-J8)/LARGE($J$2:$J$126,1))^0.105</f>
        <v>61287.924138376802</v>
      </c>
      <c r="L8" s="33" t="str">
        <f>IFERROR(VLOOKUP(A8,Selecionados!$D$2:$E$101,2,FALSE),"")</f>
        <v/>
      </c>
      <c r="M8" s="32">
        <f>K8*(Selecionados!$Q$4/100)</f>
        <v>2034.759081394104</v>
      </c>
      <c r="N8" s="32">
        <f>K8*Selecionados!$I$4+(Selecionados!$N$5/100)*K8*Selecionados!$N$4+(Selecionados!$J$5/100)*K8*Selecionados!$J$4</f>
        <v>65679.078668762668</v>
      </c>
    </row>
    <row r="9" spans="1:18" x14ac:dyDescent="0.25">
      <c r="A9" t="s">
        <v>599</v>
      </c>
      <c r="B9" t="s">
        <v>166</v>
      </c>
      <c r="C9" s="29">
        <v>1</v>
      </c>
      <c r="D9" s="29">
        <v>17</v>
      </c>
      <c r="E9" s="29">
        <v>15</v>
      </c>
      <c r="F9" s="29">
        <v>11</v>
      </c>
      <c r="G9" s="29">
        <v>41</v>
      </c>
      <c r="I9" s="33" t="str">
        <f t="shared" si="0"/>
        <v xml:space="preserve">Niwn نيون </v>
      </c>
      <c r="J9" s="29">
        <v>8</v>
      </c>
      <c r="K9" s="32">
        <f>50000+IF(L9="",20000,35000*(VLOOKUP(L9,Jockey!$A$2:$J$113,10,FALSE)/100)^0.7)*(D9/LARGE($D$2:$D$126,1))^0.8*(E9/LARGE($E$2:$E$126,1))^0.1*(F9/LARGE($F$2:$F$126,1))^0.6*(G9/LARGE($G$2:$G$126,1))^0.35*(1+(LARGE($J$2:$J$126,1)-J9)/LARGE($J$2:$J$126,1))^0.105</f>
        <v>61844.075488717812</v>
      </c>
      <c r="L9" s="33" t="str">
        <f>IFERROR(VLOOKUP(A9,Selecionados!$D$2:$E$101,2,FALSE),"")</f>
        <v/>
      </c>
      <c r="M9" s="32">
        <f>K9*(Selecionados!$Q$4/100)</f>
        <v>2053.2233062254254</v>
      </c>
      <c r="N9" s="32">
        <f>K9*Selecionados!$I$4+(Selecionados!$N$5/100)*K9*Selecionados!$N$4+(Selecionados!$J$5/100)*K9*Selecionados!$J$4</f>
        <v>66275.077126930599</v>
      </c>
    </row>
    <row r="10" spans="1:18" x14ac:dyDescent="0.25">
      <c r="A10" t="s">
        <v>132</v>
      </c>
      <c r="B10" t="s">
        <v>33</v>
      </c>
      <c r="C10" s="29">
        <v>2</v>
      </c>
      <c r="D10" s="29">
        <v>17</v>
      </c>
      <c r="E10" s="29">
        <v>10</v>
      </c>
      <c r="F10" s="29">
        <v>9</v>
      </c>
      <c r="G10" s="29">
        <v>33</v>
      </c>
      <c r="I10" s="33" t="str">
        <f t="shared" si="0"/>
        <v xml:space="preserve">Phosphor </v>
      </c>
      <c r="J10" s="29">
        <v>7</v>
      </c>
      <c r="K10" s="32">
        <f>50000+IF(L10="",20000,35000*(VLOOKUP(L10,Jockey!$A$2:$J$113,10,FALSE)/100)^0.7)*(D10/LARGE($D$2:$D$126,1))^0.8*(E10/LARGE($E$2:$E$126,1))^0.1*(F10/LARGE($F$2:$F$126,1))^0.6*(G10/LARGE($G$2:$G$126,1))^0.35*(1+(LARGE($J$2:$J$126,1)-J10)/LARGE($J$2:$J$126,1))^0.105</f>
        <v>59393.606009940377</v>
      </c>
      <c r="L10" s="33" t="str">
        <f>IFERROR(VLOOKUP(A10,Selecionados!$D$2:$E$101,2,FALSE),"")</f>
        <v/>
      </c>
      <c r="M10" s="32">
        <f>K10*(Selecionados!$Q$4/100)</f>
        <v>1971.8677195300147</v>
      </c>
      <c r="N10" s="32">
        <f>K10*Selecionados!$I$4+(Selecionados!$N$5/100)*K10*Selecionados!$N$4+(Selecionados!$J$5/100)*K10*Selecionados!$J$4</f>
        <v>63649.036517223511</v>
      </c>
    </row>
    <row r="11" spans="1:18" x14ac:dyDescent="0.25">
      <c r="A11" t="s">
        <v>133</v>
      </c>
      <c r="B11" t="s">
        <v>162</v>
      </c>
      <c r="C11" s="29">
        <v>3</v>
      </c>
      <c r="D11" s="29">
        <v>13</v>
      </c>
      <c r="E11" s="29">
        <v>13</v>
      </c>
      <c r="F11" s="29">
        <v>11</v>
      </c>
      <c r="G11" s="29">
        <v>45</v>
      </c>
      <c r="I11" s="33" t="str">
        <f t="shared" si="0"/>
        <v xml:space="preserve">Sulph </v>
      </c>
      <c r="J11" s="29">
        <v>11</v>
      </c>
      <c r="K11" s="32">
        <f>50000+IF(L11="",20000,35000*(VLOOKUP(L11,Jockey!$A$2:$J$113,10,FALSE)/100)^0.7)*(D11/LARGE($D$2:$D$126,1))^0.8*(E11/LARGE($E$2:$E$126,1))^0.1*(F11/LARGE($F$2:$F$126,1))^0.6*(G11/LARGE($G$2:$G$126,1))^0.35*(1+(LARGE($J$2:$J$126,1)-J11)/LARGE($J$2:$J$126,1))^0.105</f>
        <v>66743.991183111706</v>
      </c>
      <c r="L11" s="33" t="str">
        <f>IFERROR(VLOOKUP(A11,Selecionados!$D$2:$E$101,2,FALSE),"")</f>
        <v>Akaria Bháskara</v>
      </c>
      <c r="M11" s="32">
        <f>K11*(Selecionados!$Q$4/100)</f>
        <v>2215.900507279302</v>
      </c>
      <c r="N11" s="32">
        <f>K11*Selecionados!$I$4+(Selecionados!$N$5/100)*K11*Selecionados!$N$4+(Selecionados!$J$5/100)*K11*Selecionados!$J$4</f>
        <v>71526.061768469226</v>
      </c>
    </row>
    <row r="12" spans="1:18" x14ac:dyDescent="0.25">
      <c r="A12" t="s">
        <v>511</v>
      </c>
      <c r="B12" t="s">
        <v>161</v>
      </c>
      <c r="C12" s="29">
        <v>2</v>
      </c>
      <c r="D12" s="29">
        <v>10</v>
      </c>
      <c r="E12" s="29">
        <v>18</v>
      </c>
      <c r="F12" s="29">
        <v>14</v>
      </c>
      <c r="G12" s="29">
        <v>48</v>
      </c>
      <c r="I12" s="33" t="str">
        <f t="shared" si="0"/>
        <v xml:space="preserve">Argón </v>
      </c>
      <c r="J12" s="29">
        <v>8</v>
      </c>
      <c r="K12" s="32">
        <f>50000+IF(L12="",20000,35000*(VLOOKUP(L12,Jockey!$A$2:$J$113,10,FALSE)/100)^0.7)*(D12/LARGE($D$2:$D$126,1))^0.8*(E12/LARGE($E$2:$E$126,1))^0.1*(F12/LARGE($F$2:$F$126,1))^0.6*(G12/LARGE($G$2:$G$126,1))^0.35*(1+(LARGE($J$2:$J$126,1)-J12)/LARGE($J$2:$J$126,1))^0.105</f>
        <v>66861.627718602438</v>
      </c>
      <c r="L12" s="33" t="str">
        <f>IFERROR(VLOOKUP(A12,Selecionados!$D$2:$E$101,2,FALSE),"")</f>
        <v>François Arago</v>
      </c>
      <c r="M12" s="32">
        <f>K12*(Selecionados!$Q$4/100)</f>
        <v>2219.8060402575943</v>
      </c>
      <c r="N12" s="32">
        <f>K12*Selecionados!$I$4+(Selecionados!$N$5/100)*K12*Selecionados!$N$4+(Selecionados!$J$5/100)*K12*Selecionados!$J$4</f>
        <v>71652.126721352484</v>
      </c>
    </row>
    <row r="13" spans="1:18" x14ac:dyDescent="0.25">
      <c r="A13" t="s">
        <v>512</v>
      </c>
      <c r="B13" t="s">
        <v>18</v>
      </c>
      <c r="C13" s="29">
        <v>1</v>
      </c>
      <c r="D13" s="29">
        <v>9</v>
      </c>
      <c r="E13" s="29">
        <v>18</v>
      </c>
      <c r="F13" s="29">
        <v>16</v>
      </c>
      <c r="G13" s="29">
        <v>55</v>
      </c>
      <c r="I13" s="33" t="str">
        <f t="shared" si="0"/>
        <v xml:space="preserve">Kallio </v>
      </c>
      <c r="J13" s="29">
        <v>11</v>
      </c>
      <c r="K13" s="32">
        <f>50000+IF(L13="",20000,35000*(VLOOKUP(L13,Jockey!$A$2:$J$113,10,FALSE)/100)^0.7)*(D13/LARGE($D$2:$D$126,1))^0.8*(E13/LARGE($E$2:$E$126,1))^0.1*(F13/LARGE($F$2:$F$126,1))^0.6*(G13/LARGE($G$2:$G$126,1))^0.35*(1+(LARGE($J$2:$J$126,1)-J13)/LARGE($J$2:$J$126,1))^0.105</f>
        <v>67312.913836813968</v>
      </c>
      <c r="L13" s="33" t="str">
        <f>IFERROR(VLOOKUP(A13,Selecionados!$D$2:$E$101,2,FALSE),"")</f>
        <v>Leonhard Euler</v>
      </c>
      <c r="M13" s="32">
        <f>K13*(Selecionados!$Q$4/100)</f>
        <v>2234.788739382217</v>
      </c>
      <c r="N13" s="32">
        <f>K13*Selecionados!$I$4+(Selecionados!$N$5/100)*K13*Selecionados!$N$4+(Selecionados!$J$5/100)*K13*Selecionados!$J$4</f>
        <v>72135.746567787704</v>
      </c>
    </row>
    <row r="14" spans="1:18" x14ac:dyDescent="0.25">
      <c r="A14" t="s">
        <v>577</v>
      </c>
      <c r="B14" t="s">
        <v>164</v>
      </c>
      <c r="C14" s="29">
        <v>1</v>
      </c>
      <c r="D14" s="29">
        <v>14</v>
      </c>
      <c r="E14" s="29">
        <v>13</v>
      </c>
      <c r="F14" s="29">
        <v>16</v>
      </c>
      <c r="G14" s="29">
        <v>67</v>
      </c>
      <c r="I14" s="33" t="str">
        <f t="shared" si="0"/>
        <v xml:space="preserve">ስካንዲየም </v>
      </c>
      <c r="J14" s="29">
        <v>12</v>
      </c>
      <c r="K14" s="32">
        <f>50000+IF(L14="",20000,35000*(VLOOKUP(L14,Jockey!$A$2:$J$113,10,FALSE)/100)^0.7)*(D14/LARGE($D$2:$D$126,1))^0.8*(E14/LARGE($E$2:$E$126,1))^0.1*(F14/LARGE($F$2:$F$126,1))^0.6*(G14/LARGE($G$2:$G$126,1))^0.35*(1+(LARGE($J$2:$J$126,1)-J14)/LARGE($J$2:$J$126,1))^0.105</f>
        <v>75408.578825558798</v>
      </c>
      <c r="L14" s="33" t="str">
        <f>IFERROR(VLOOKUP(A14,Selecionados!$D$2:$E$101,2,FALSE),"")</f>
        <v>Antoine-Laurent Lavoisier</v>
      </c>
      <c r="M14" s="32">
        <f>K14*(Selecionados!$Q$4/100)</f>
        <v>2503.5648170085447</v>
      </c>
      <c r="N14" s="32">
        <f>K14*Selecionados!$I$4+(Selecionados!$N$5/100)*K14*Selecionados!$N$4+(Selecionados!$J$5/100)*K14*Selecionados!$J$4</f>
        <v>80811.44941050763</v>
      </c>
    </row>
    <row r="15" spans="1:18" x14ac:dyDescent="0.25">
      <c r="A15" t="s">
        <v>513</v>
      </c>
      <c r="B15" t="s">
        <v>161</v>
      </c>
      <c r="C15" s="29">
        <v>2</v>
      </c>
      <c r="D15" s="29">
        <v>9</v>
      </c>
      <c r="E15" s="29">
        <v>15</v>
      </c>
      <c r="F15" s="29">
        <v>8</v>
      </c>
      <c r="G15" s="29">
        <v>21</v>
      </c>
      <c r="I15" s="33" t="str">
        <f t="shared" si="0"/>
        <v xml:space="preserve">Titanio </v>
      </c>
      <c r="J15" s="29">
        <v>11</v>
      </c>
      <c r="K15" s="32">
        <f>50000+IF(L15="",20000,35000*(VLOOKUP(L15,Jockey!$A$2:$J$113,10,FALSE)/100)^0.7)*(D15/LARGE($D$2:$D$126,1))^0.8*(E15/LARGE($E$2:$E$126,1))^0.1*(F15/LARGE($F$2:$F$126,1))^0.6*(G15/LARGE($G$2:$G$126,1))^0.35*(1+(LARGE($J$2:$J$126,1)-J15)/LARGE($J$2:$J$126,1))^0.105</f>
        <v>58007.258653172248</v>
      </c>
      <c r="L15" s="33" t="str">
        <f>IFERROR(VLOOKUP(A15,Selecionados!$D$2:$E$101,2,FALSE),"")</f>
        <v>Thomas Bayes</v>
      </c>
      <c r="M15" s="32">
        <f>K15*(Selecionados!$Q$4/100)</f>
        <v>1925.8409872853131</v>
      </c>
      <c r="N15" s="32">
        <f>K15*Selecionados!$I$4+(Selecionados!$N$5/100)*K15*Selecionados!$N$4+(Selecionados!$J$5/100)*K15*Selecionados!$J$4</f>
        <v>62163.360205168588</v>
      </c>
    </row>
    <row r="16" spans="1:18" x14ac:dyDescent="0.25">
      <c r="A16" t="s">
        <v>530</v>
      </c>
      <c r="B16" t="s">
        <v>33</v>
      </c>
      <c r="C16" s="29">
        <v>3</v>
      </c>
      <c r="D16" s="29">
        <v>7</v>
      </c>
      <c r="E16" s="29">
        <v>15</v>
      </c>
      <c r="F16" s="29">
        <v>8</v>
      </c>
      <c r="G16" s="29">
        <v>21</v>
      </c>
      <c r="I16" s="33" t="str">
        <f t="shared" si="0"/>
        <v xml:space="preserve">Vanadium </v>
      </c>
      <c r="J16" s="29">
        <v>9</v>
      </c>
      <c r="K16" s="32">
        <f>50000+IF(L16="",20000,35000*(VLOOKUP(L16,Jockey!$A$2:$J$113,10,FALSE)/100)^0.7)*(D16/LARGE($D$2:$D$126,1))^0.8*(E16/LARGE($E$2:$E$126,1))^0.1*(F16/LARGE($F$2:$F$126,1))^0.6*(G16/LARGE($G$2:$G$126,1))^0.35*(1+(LARGE($J$2:$J$126,1)-J16)/LARGE($J$2:$J$126,1))^0.105</f>
        <v>56625.82976125666</v>
      </c>
      <c r="L16" s="33" t="str">
        <f>IFERROR(VLOOKUP(A16,Selecionados!$D$2:$E$101,2,FALSE),"")</f>
        <v>Euclides de Alexandria</v>
      </c>
      <c r="M16" s="32">
        <f>K16*(Selecionados!$Q$4/100)</f>
        <v>1879.9775480737158</v>
      </c>
      <c r="N16" s="32">
        <f>K16*Selecionados!$I$4+(Selecionados!$N$5/100)*K16*Selecionados!$N$4+(Selecionados!$J$5/100)*K16*Selecionados!$J$4</f>
        <v>60682.954755922641</v>
      </c>
    </row>
    <row r="17" spans="1:14" x14ac:dyDescent="0.25">
      <c r="A17" t="s">
        <v>514</v>
      </c>
      <c r="B17" t="s">
        <v>161</v>
      </c>
      <c r="C17" s="29">
        <v>1</v>
      </c>
      <c r="D17" s="29">
        <v>16</v>
      </c>
      <c r="E17" s="29">
        <v>16</v>
      </c>
      <c r="F17" s="29">
        <v>12</v>
      </c>
      <c r="G17" s="29">
        <v>33</v>
      </c>
      <c r="I17" s="33" t="str">
        <f t="shared" si="0"/>
        <v xml:space="preserve">Níquel </v>
      </c>
      <c r="J17" s="29">
        <v>12</v>
      </c>
      <c r="K17" s="32">
        <f>50000+IF(L17="",20000,35000*(VLOOKUP(L17,Jockey!$A$2:$J$113,10,FALSE)/100)^0.7)*(D17/LARGE($D$2:$D$126,1))^0.8*(E17/LARGE($E$2:$E$126,1))^0.1*(F17/LARGE($F$2:$F$126,1))^0.6*(G17/LARGE($G$2:$G$126,1))^0.35*(1+(LARGE($J$2:$J$126,1)-J17)/LARGE($J$2:$J$126,1))^0.105</f>
        <v>68957.543057796312</v>
      </c>
      <c r="L17" s="33" t="str">
        <f>IFERROR(VLOOKUP(A17,Selecionados!$D$2:$E$101,2,FALSE),"")</f>
        <v>Svante Arrhenius</v>
      </c>
      <c r="M17" s="32">
        <f>K17*(Selecionados!$Q$4/100)</f>
        <v>2289.3904295188308</v>
      </c>
      <c r="N17" s="32">
        <f>K17*Selecionados!$I$4+(Selecionados!$N$5/100)*K17*Selecionados!$N$4+(Selecionados!$J$5/100)*K17*Selecionados!$J$4</f>
        <v>73898.210111861423</v>
      </c>
    </row>
    <row r="18" spans="1:14" x14ac:dyDescent="0.25">
      <c r="A18" t="s">
        <v>134</v>
      </c>
      <c r="B18" s="20" t="s">
        <v>161</v>
      </c>
      <c r="C18" s="29">
        <v>1</v>
      </c>
      <c r="D18" s="29">
        <v>17</v>
      </c>
      <c r="E18" s="29">
        <v>15</v>
      </c>
      <c r="F18" s="29">
        <v>12</v>
      </c>
      <c r="G18" s="29">
        <v>42</v>
      </c>
      <c r="I18" s="33" t="str">
        <f t="shared" si="0"/>
        <v xml:space="preserve">Cuprum </v>
      </c>
      <c r="J18" s="29">
        <v>7</v>
      </c>
      <c r="K18" s="32">
        <f>50000+IF(L18="",20000,35000*(VLOOKUP(L18,Jockey!$A$2:$J$113,10,FALSE)/100)^0.7)*(D18/LARGE($D$2:$D$126,1))^0.8*(E18/LARGE($E$2:$E$126,1))^0.1*(F18/LARGE($F$2:$F$126,1))^0.6*(G18/LARGE($G$2:$G$126,1))^0.35*(1+(LARGE($J$2:$J$126,1)-J18)/LARGE($J$2:$J$126,1))^0.105</f>
        <v>72136.050154414042</v>
      </c>
      <c r="L18" s="33" t="str">
        <f>IFERROR(VLOOKUP(A18,Selecionados!$D$2:$E$101,2,FALSE),"")</f>
        <v>Thiago Sequinel</v>
      </c>
      <c r="M18" s="32">
        <f>K18*(Selecionados!$Q$4/100)</f>
        <v>2394.9168651265391</v>
      </c>
      <c r="N18" s="32">
        <f>K18*Selecionados!$I$4+(Selecionados!$N$5/100)*K18*Selecionados!$N$4+(Selecionados!$J$5/100)*K18*Selecionados!$J$4</f>
        <v>77304.450747074196</v>
      </c>
    </row>
    <row r="19" spans="1:14" x14ac:dyDescent="0.25">
      <c r="A19" t="s">
        <v>598</v>
      </c>
      <c r="B19" s="20" t="s">
        <v>160</v>
      </c>
      <c r="C19" s="29">
        <v>1</v>
      </c>
      <c r="D19" s="29">
        <v>14</v>
      </c>
      <c r="E19" s="29">
        <v>15</v>
      </c>
      <c r="F19" s="29">
        <v>14</v>
      </c>
      <c r="G19" s="29">
        <v>42</v>
      </c>
      <c r="I19" s="33" t="str">
        <f t="shared" si="0"/>
        <v xml:space="preserve">Lì 鎘 </v>
      </c>
      <c r="J19" s="29">
        <v>12</v>
      </c>
      <c r="K19" s="32">
        <f>50000+IF(L19="",20000,35000*(VLOOKUP(L19,Jockey!$A$2:$J$113,10,FALSE)/100)^0.7)*(D19/LARGE($D$2:$D$126,1))^0.8*(E19/LARGE($E$2:$E$126,1))^0.1*(F19/LARGE($F$2:$F$126,1))^0.6*(G19/LARGE($G$2:$G$126,1))^0.35*(1+(LARGE($J$2:$J$126,1)-J19)/LARGE($J$2:$J$126,1))^0.105</f>
        <v>70202.776883505503</v>
      </c>
      <c r="L19" s="33" t="str">
        <f>IFERROR(VLOOKUP(A19,Selecionados!$D$2:$E$101,2,FALSE),"")</f>
        <v>Jairton Dupont</v>
      </c>
      <c r="M19" s="32">
        <f>K19*(Selecionados!$Q$4/100)</f>
        <v>2330.7321925323758</v>
      </c>
      <c r="N19" s="32">
        <f>K19*Selecionados!$I$4+(Selecionados!$N$5/100)*K19*Selecionados!$N$4+(Selecionados!$J$5/100)*K19*Selecionados!$J$4</f>
        <v>75232.662396704705</v>
      </c>
    </row>
    <row r="20" spans="1:14" x14ac:dyDescent="0.25">
      <c r="A20" t="s">
        <v>600</v>
      </c>
      <c r="B20" t="s">
        <v>166</v>
      </c>
      <c r="C20" s="29">
        <v>1</v>
      </c>
      <c r="D20" s="29">
        <v>12</v>
      </c>
      <c r="E20" s="29">
        <v>15</v>
      </c>
      <c r="F20" s="29">
        <v>16</v>
      </c>
      <c r="G20" s="29">
        <v>61</v>
      </c>
      <c r="I20" s="33" t="str">
        <f t="shared" si="0"/>
        <v xml:space="preserve">Alghalyawm الغاليوم </v>
      </c>
      <c r="J20" s="29">
        <v>9</v>
      </c>
      <c r="K20" s="32">
        <f>50000+IF(L20="",20000,35000*(VLOOKUP(L20,Jockey!$A$2:$J$113,10,FALSE)/100)^0.7)*(D20/LARGE($D$2:$D$126,1))^0.8*(E20/LARGE($E$2:$E$126,1))^0.1*(F20/LARGE($F$2:$F$126,1))^0.6*(G20/LARGE($G$2:$G$126,1))^0.35*(1+(LARGE($J$2:$J$126,1)-J20)/LARGE($J$2:$J$126,1))^0.105</f>
        <v>72449.854187790639</v>
      </c>
      <c r="L20" s="33" t="str">
        <f>IFERROR(VLOOKUP(A20,Selecionados!$D$2:$E$101,2,FALSE),"")</f>
        <v>Aristóteles de Estagira</v>
      </c>
      <c r="M20" s="32">
        <f>K20*(Selecionados!$Q$4/100)</f>
        <v>2405.3351590346424</v>
      </c>
      <c r="N20" s="32">
        <f>K20*Selecionados!$I$4+(Selecionados!$N$5/100)*K20*Selecionados!$N$4+(Selecionados!$J$5/100)*K20*Selecionados!$J$4</f>
        <v>77640.73819822332</v>
      </c>
    </row>
    <row r="21" spans="1:14" x14ac:dyDescent="0.25">
      <c r="A21" t="s">
        <v>531</v>
      </c>
      <c r="B21" t="s">
        <v>33</v>
      </c>
      <c r="C21" s="29">
        <v>3</v>
      </c>
      <c r="D21" s="29">
        <v>10</v>
      </c>
      <c r="E21" s="29">
        <v>13</v>
      </c>
      <c r="F21" s="29">
        <v>8</v>
      </c>
      <c r="G21" s="29">
        <v>37</v>
      </c>
      <c r="I21" s="33" t="str">
        <f t="shared" si="0"/>
        <v xml:space="preserve">Germanium </v>
      </c>
      <c r="J21" s="29">
        <v>7</v>
      </c>
      <c r="K21" s="32">
        <f>50000+IF(L21="",20000,35000*(VLOOKUP(L21,Jockey!$A$2:$J$113,10,FALSE)/100)^0.7)*(D21/LARGE($D$2:$D$126,1))^0.8*(E21/LARGE($E$2:$E$126,1))^0.1*(F21/LARGE($F$2:$F$126,1))^0.6*(G21/LARGE($G$2:$G$126,1))^0.35*(1+(LARGE($J$2:$J$126,1)-J21)/LARGE($J$2:$J$126,1))^0.105</f>
        <v>60705.446826687163</v>
      </c>
      <c r="L21" s="33" t="str">
        <f>IFERROR(VLOOKUP(A21,Selecionados!$D$2:$E$101,2,FALSE),"")</f>
        <v>Max Planck</v>
      </c>
      <c r="M21" s="32">
        <f>K21*(Selecionados!$Q$4/100)</f>
        <v>2015.420834646008</v>
      </c>
      <c r="N21" s="32">
        <f>K21*Selecionados!$I$4+(Selecionados!$N$5/100)*K21*Selecionados!$N$4+(Selecionados!$J$5/100)*K21*Selecionados!$J$4</f>
        <v>65054.868047909251</v>
      </c>
    </row>
    <row r="22" spans="1:14" x14ac:dyDescent="0.25">
      <c r="A22" t="s">
        <v>532</v>
      </c>
      <c r="B22" t="s">
        <v>18</v>
      </c>
      <c r="C22" s="29">
        <v>1</v>
      </c>
      <c r="D22" s="29">
        <v>11</v>
      </c>
      <c r="E22" s="29">
        <v>15</v>
      </c>
      <c r="F22" s="29">
        <v>16</v>
      </c>
      <c r="G22" s="29">
        <v>58</v>
      </c>
      <c r="I22" s="33" t="str">
        <f t="shared" si="0"/>
        <v xml:space="preserve">Arsônicu </v>
      </c>
      <c r="J22" s="29">
        <v>10</v>
      </c>
      <c r="K22" s="32">
        <f>50000+IF(L22="",20000,35000*(VLOOKUP(L22,Jockey!$A$2:$J$113,10,FALSE)/100)^0.7)*(D22/LARGE($D$2:$D$126,1))^0.8*(E22/LARGE($E$2:$E$126,1))^0.1*(F22/LARGE($F$2:$F$126,1))^0.6*(G22/LARGE($G$2:$G$126,1))^0.35*(1+(LARGE($J$2:$J$126,1)-J22)/LARGE($J$2:$J$126,1))^0.105</f>
        <v>70457.450844314852</v>
      </c>
      <c r="L22" s="33" t="str">
        <f>IFERROR(VLOOKUP(A22,Selecionados!$D$2:$E$101,2,FALSE),"")</f>
        <v>Siméon D. Poisson</v>
      </c>
      <c r="M22" s="32">
        <f>K22*(Selecionados!$Q$4/100)</f>
        <v>2339.1873680312465</v>
      </c>
      <c r="N22" s="32">
        <f>K22*Selecionados!$I$4+(Selecionados!$N$5/100)*K22*Selecionados!$N$4+(Selecionados!$J$5/100)*K22*Selecionados!$J$4</f>
        <v>75505.583226411996</v>
      </c>
    </row>
    <row r="23" spans="1:14" x14ac:dyDescent="0.25">
      <c r="A23" t="s">
        <v>533</v>
      </c>
      <c r="B23" t="s">
        <v>18</v>
      </c>
      <c r="C23" s="29">
        <v>1</v>
      </c>
      <c r="D23" s="29">
        <v>15</v>
      </c>
      <c r="E23" s="29">
        <v>14</v>
      </c>
      <c r="F23" s="29">
        <v>16</v>
      </c>
      <c r="G23" s="29">
        <v>56</v>
      </c>
      <c r="I23" s="33" t="str">
        <f t="shared" si="0"/>
        <v xml:space="preserve">Selênio Gomes </v>
      </c>
      <c r="J23" s="29">
        <v>12</v>
      </c>
      <c r="K23" s="32">
        <f>50000+IF(L23="",20000,35000*(VLOOKUP(L23,Jockey!$A$2:$J$113,10,FALSE)/100)^0.7)*(D23/LARGE($D$2:$D$126,1))^0.8*(E23/LARGE($E$2:$E$126,1))^0.1*(F23/LARGE($F$2:$F$126,1))^0.6*(G23/LARGE($G$2:$G$126,1))^0.35*(1+(LARGE($J$2:$J$126,1)-J23)/LARGE($J$2:$J$126,1))^0.105</f>
        <v>75404.406301425508</v>
      </c>
      <c r="L23" s="33" t="str">
        <f>IFERROR(VLOOKUP(A23,Selecionados!$D$2:$E$101,2,FALSE),"")</f>
        <v>Zenão de Cítio</v>
      </c>
      <c r="M23" s="32">
        <f>K23*(Selecionados!$Q$4/100)</f>
        <v>2503.4262892073198</v>
      </c>
      <c r="N23" s="32">
        <f>K23*Selecionados!$I$4+(Selecionados!$N$5/100)*K23*Selecionados!$N$4+(Selecionados!$J$5/100)*K23*Selecionados!$J$4</f>
        <v>80806.977933546223</v>
      </c>
    </row>
    <row r="24" spans="1:14" x14ac:dyDescent="0.25">
      <c r="A24" t="s">
        <v>534</v>
      </c>
      <c r="B24" t="s">
        <v>18</v>
      </c>
      <c r="C24" s="29">
        <v>1</v>
      </c>
      <c r="D24" s="29">
        <v>11</v>
      </c>
      <c r="E24" s="29">
        <v>11</v>
      </c>
      <c r="F24" s="29">
        <v>16</v>
      </c>
      <c r="G24" s="29">
        <v>57</v>
      </c>
      <c r="I24" s="33" t="str">
        <f t="shared" si="0"/>
        <v xml:space="preserve">Brumeta </v>
      </c>
      <c r="J24" s="29">
        <v>8</v>
      </c>
      <c r="K24" s="32">
        <f>50000+IF(L24="",20000,35000*(VLOOKUP(L24,Jockey!$A$2:$J$113,10,FALSE)/100)^0.7)*(D24/LARGE($D$2:$D$126,1))^0.8*(E24/LARGE($E$2:$E$126,1))^0.1*(F24/LARGE($F$2:$F$126,1))^0.6*(G24/LARGE($G$2:$G$126,1))^0.35*(1+(LARGE($J$2:$J$126,1)-J24)/LARGE($J$2:$J$126,1))^0.105</f>
        <v>69931.619931121473</v>
      </c>
      <c r="L24" s="33" t="str">
        <f>IFERROR(VLOOKUP(A24,Selecionados!$D$2:$E$101,2,FALSE),"")</f>
        <v>Louis Joseph Gay-Lussac</v>
      </c>
      <c r="M24" s="32">
        <f>K24*(Selecionados!$Q$4/100)</f>
        <v>2321.7297817132262</v>
      </c>
      <c r="N24" s="32">
        <f>K24*Selecionados!$I$4+(Selecionados!$N$5/100)*K24*Selecionados!$N$4+(Selecionados!$J$5/100)*K24*Selecionados!$J$4</f>
        <v>74942.07760275733</v>
      </c>
    </row>
    <row r="25" spans="1:14" x14ac:dyDescent="0.25">
      <c r="A25" t="s">
        <v>535</v>
      </c>
      <c r="B25" t="s">
        <v>162</v>
      </c>
      <c r="C25" s="29">
        <v>2</v>
      </c>
      <c r="D25" s="29">
        <v>18</v>
      </c>
      <c r="E25" s="29">
        <v>15</v>
      </c>
      <c r="F25" s="29">
        <v>11</v>
      </c>
      <c r="G25" s="29">
        <v>38</v>
      </c>
      <c r="I25" s="33" t="str">
        <f t="shared" si="0"/>
        <v xml:space="preserve">Criptón </v>
      </c>
      <c r="J25" s="29">
        <v>12</v>
      </c>
      <c r="K25" s="32">
        <f>50000+IF(L25="",20000,35000*(VLOOKUP(L25,Jockey!$A$2:$J$113,10,FALSE)/100)^0.7)*(D25/LARGE($D$2:$D$126,1))^0.8*(E25/LARGE($E$2:$E$126,1))^0.1*(F25/LARGE($F$2:$F$126,1))^0.6*(G25/LARGE($G$2:$G$126,1))^0.35*(1+(LARGE($J$2:$J$126,1)-J25)/LARGE($J$2:$J$126,1))^0.105</f>
        <v>70638.229615242439</v>
      </c>
      <c r="L25" s="33" t="str">
        <f>IFERROR(VLOOKUP(A25,Selecionados!$D$2:$E$101,2,FALSE),"")</f>
        <v>Georg-Simon Ohm</v>
      </c>
      <c r="M25" s="32">
        <f>K25*(Selecionados!$Q$4/100)</f>
        <v>2345.189223226042</v>
      </c>
      <c r="N25" s="32">
        <f>K25*Selecionados!$I$4+(Selecionados!$N$5/100)*K25*Selecionados!$N$4+(Selecionados!$J$5/100)*K25*Selecionados!$J$4</f>
        <v>75699.314426877958</v>
      </c>
    </row>
    <row r="26" spans="1:14" x14ac:dyDescent="0.25">
      <c r="A26" t="s">
        <v>536</v>
      </c>
      <c r="B26" t="s">
        <v>33</v>
      </c>
      <c r="C26" s="29">
        <v>1</v>
      </c>
      <c r="D26" s="29">
        <v>13</v>
      </c>
      <c r="E26" s="29">
        <v>15</v>
      </c>
      <c r="F26" s="29">
        <v>17</v>
      </c>
      <c r="G26" s="29">
        <v>66</v>
      </c>
      <c r="I26" s="33" t="str">
        <f t="shared" si="0"/>
        <v xml:space="preserve">Rubidium </v>
      </c>
      <c r="J26" s="29">
        <v>13</v>
      </c>
      <c r="K26" s="32">
        <f>50000+IF(L26="",20000,35000*(VLOOKUP(L26,Jockey!$A$2:$J$113,10,FALSE)/100)^0.7)*(D26/LARGE($D$2:$D$126,1))^0.8*(E26/LARGE($E$2:$E$126,1))^0.1*(F26/LARGE($F$2:$F$126,1))^0.6*(G26/LARGE($G$2:$G$126,1))^0.35*(1+(LARGE($J$2:$J$126,1)-J26)/LARGE($J$2:$J$126,1))^0.105</f>
        <v>74889.487958039041</v>
      </c>
      <c r="L26" s="33" t="str">
        <f>IFERROR(VLOOKUP(A26,Selecionados!$D$2:$E$101,2,FALSE),"")</f>
        <v>John Tyndall</v>
      </c>
      <c r="M26" s="32">
        <f>K26*(Selecionados!$Q$4/100)</f>
        <v>2486.3310002068888</v>
      </c>
      <c r="N26" s="32">
        <f>K26*Selecionados!$I$4+(Selecionados!$N$5/100)*K26*Selecionados!$N$4+(Selecionados!$J$5/100)*K26*Selecionados!$J$4</f>
        <v>80255.166743026697</v>
      </c>
    </row>
    <row r="27" spans="1:14" x14ac:dyDescent="0.25">
      <c r="A27" t="s">
        <v>135</v>
      </c>
      <c r="B27" t="s">
        <v>33</v>
      </c>
      <c r="C27" s="29">
        <v>1</v>
      </c>
      <c r="D27" s="29">
        <v>8</v>
      </c>
      <c r="E27" s="29">
        <v>14</v>
      </c>
      <c r="F27" s="29">
        <v>13</v>
      </c>
      <c r="G27" s="29">
        <v>57</v>
      </c>
      <c r="I27" s="33" t="str">
        <f t="shared" si="0"/>
        <v xml:space="preserve">Strontium </v>
      </c>
      <c r="J27" s="29">
        <v>13</v>
      </c>
      <c r="K27" s="32">
        <f>50000+IF(L27="",20000,35000*(VLOOKUP(L27,Jockey!$A$2:$J$113,10,FALSE)/100)^0.7)*(D27/LARGE($D$2:$D$126,1))^0.8*(E27/LARGE($E$2:$E$126,1))^0.1*(F27/LARGE($F$2:$F$126,1))^0.6*(G27/LARGE($G$2:$G$126,1))^0.35*(1+(LARGE($J$2:$J$126,1)-J27)/LARGE($J$2:$J$126,1))^0.105</f>
        <v>63556.557739595963</v>
      </c>
      <c r="L27" s="33" t="str">
        <f>IFERROR(VLOOKUP(A27,Selecionados!$D$2:$E$101,2,FALSE),"")</f>
        <v>Sócrates de Alópece</v>
      </c>
      <c r="M27" s="32">
        <f>K27*(Selecionados!$Q$4/100)</f>
        <v>2110.07771695458</v>
      </c>
      <c r="N27" s="32">
        <f>K27*Selecionados!$I$4+(Selecionados!$N$5/100)*K27*Selecionados!$N$4+(Selecionados!$J$5/100)*K27*Selecionados!$J$4</f>
        <v>68110.255231843083</v>
      </c>
    </row>
    <row r="28" spans="1:14" x14ac:dyDescent="0.25">
      <c r="A28" t="s">
        <v>537</v>
      </c>
      <c r="B28" t="s">
        <v>162</v>
      </c>
      <c r="C28" s="29">
        <v>3</v>
      </c>
      <c r="D28" s="29">
        <v>13</v>
      </c>
      <c r="E28" s="29">
        <v>13</v>
      </c>
      <c r="F28" s="29">
        <v>12</v>
      </c>
      <c r="G28" s="29">
        <v>49</v>
      </c>
      <c r="I28" s="33" t="str">
        <f t="shared" si="0"/>
        <v xml:space="preserve">Yttru </v>
      </c>
      <c r="J28" s="29">
        <v>9</v>
      </c>
      <c r="K28" s="32">
        <f>50000+IF(L28="",20000,35000*(VLOOKUP(L28,Jockey!$A$2:$J$113,10,FALSE)/100)^0.7)*(D28/LARGE($D$2:$D$126,1))^0.8*(E28/LARGE($E$2:$E$126,1))^0.1*(F28/LARGE($F$2:$F$126,1))^0.6*(G28/LARGE($G$2:$G$126,1))^0.35*(1+(LARGE($J$2:$J$126,1)-J28)/LARGE($J$2:$J$126,1))^0.105</f>
        <v>68388.587164491357</v>
      </c>
      <c r="L28" s="33" t="str">
        <f>IFERROR(VLOOKUP(A28,Selecionados!$D$2:$E$101,2,FALSE),"")</f>
        <v>Ernest Rutherford</v>
      </c>
      <c r="M28" s="32">
        <f>K28*(Selecionados!$Q$4/100)</f>
        <v>2270.5010938611063</v>
      </c>
      <c r="N28" s="32">
        <f>K28*Selecionados!$I$4+(Selecionados!$N$5/100)*K28*Selecionados!$N$4+(Selecionados!$J$5/100)*K28*Selecionados!$J$4</f>
        <v>73288.489691390656</v>
      </c>
    </row>
    <row r="29" spans="1:14" x14ac:dyDescent="0.25">
      <c r="A29" t="s">
        <v>538</v>
      </c>
      <c r="B29" t="s">
        <v>33</v>
      </c>
      <c r="C29" s="29">
        <v>2</v>
      </c>
      <c r="D29" s="29">
        <v>15</v>
      </c>
      <c r="E29" s="29">
        <v>18</v>
      </c>
      <c r="F29" s="29">
        <v>15</v>
      </c>
      <c r="G29" s="29">
        <v>51</v>
      </c>
      <c r="I29" s="33" t="str">
        <f t="shared" si="0"/>
        <v xml:space="preserve">Zirconium </v>
      </c>
      <c r="J29" s="29">
        <v>8</v>
      </c>
      <c r="K29" s="32">
        <f>50000+IF(L29="",20000,35000*(VLOOKUP(L29,Jockey!$A$2:$J$113,10,FALSE)/100)^0.7)*(D29/LARGE($D$2:$D$126,1))^0.8*(E29/LARGE($E$2:$E$126,1))^0.1*(F29/LARGE($F$2:$F$126,1))^0.6*(G29/LARGE($G$2:$G$126,1))^0.35*(1+(LARGE($J$2:$J$126,1)-J29)/LARGE($J$2:$J$126,1))^0.105</f>
        <v>74829.362339595784</v>
      </c>
      <c r="L29" s="33" t="str">
        <f>IFERROR(VLOOKUP(A29,Selecionados!$D$2:$E$101,2,FALSE),"")</f>
        <v>Pierre Curie</v>
      </c>
      <c r="M29" s="32">
        <f>K29*(Selecionados!$Q$4/100)</f>
        <v>2484.3348296745726</v>
      </c>
      <c r="N29" s="32">
        <f>K29*Selecionados!$I$4+(Selecionados!$N$5/100)*K29*Selecionados!$N$4+(Selecionados!$J$5/100)*K29*Selecionados!$J$4</f>
        <v>80190.733246881078</v>
      </c>
    </row>
    <row r="30" spans="1:14" x14ac:dyDescent="0.25">
      <c r="A30" t="s">
        <v>539</v>
      </c>
      <c r="B30" t="s">
        <v>161</v>
      </c>
      <c r="C30" s="29">
        <v>1</v>
      </c>
      <c r="D30" s="29">
        <v>17</v>
      </c>
      <c r="E30" s="29">
        <v>18</v>
      </c>
      <c r="F30" s="29">
        <v>15</v>
      </c>
      <c r="G30" s="29">
        <v>35</v>
      </c>
      <c r="I30" s="33" t="str">
        <f t="shared" si="0"/>
        <v xml:space="preserve">Niobo </v>
      </c>
      <c r="J30" s="29">
        <v>12</v>
      </c>
      <c r="K30" s="32">
        <f>50000+IF(L30="",20000,35000*(VLOOKUP(L30,Jockey!$A$2:$J$113,10,FALSE)/100)^0.7)*(D30/LARGE($D$2:$D$126,1))^0.8*(E30/LARGE($E$2:$E$126,1))^0.1*(F30/LARGE($F$2:$F$126,1))^0.6*(G30/LARGE($G$2:$G$126,1))^0.35*(1+(LARGE($J$2:$J$126,1)-J30)/LARGE($J$2:$J$126,1))^0.105</f>
        <v>73499.055049592731</v>
      </c>
      <c r="L30" s="33" t="str">
        <f>IFERROR(VLOOKUP(A30,Selecionados!$D$2:$E$101,2,FALSE),"")</f>
        <v>Paul Dirac</v>
      </c>
      <c r="M30" s="32">
        <f>K30*(Selecionados!$Q$4/100)</f>
        <v>2440.1686276464716</v>
      </c>
      <c r="N30" s="32">
        <f>K30*Selecionados!$I$4+(Selecionados!$N$5/100)*K30*Selecionados!$N$4+(Selecionados!$J$5/100)*K30*Selecionados!$J$4</f>
        <v>78765.112157864161</v>
      </c>
    </row>
    <row r="31" spans="1:14" x14ac:dyDescent="0.25">
      <c r="A31" t="s">
        <v>136</v>
      </c>
      <c r="B31" t="s">
        <v>33</v>
      </c>
      <c r="C31" s="29">
        <v>2</v>
      </c>
      <c r="D31" s="29">
        <v>14</v>
      </c>
      <c r="E31" s="29">
        <v>14</v>
      </c>
      <c r="F31" s="29">
        <v>10</v>
      </c>
      <c r="G31" s="29">
        <v>33</v>
      </c>
      <c r="I31" s="33" t="str">
        <f t="shared" si="0"/>
        <v xml:space="preserve">Molybdenum </v>
      </c>
      <c r="J31" s="29">
        <v>10</v>
      </c>
      <c r="K31" s="32">
        <f>50000+IF(L31="",20000,35000*(VLOOKUP(L31,Jockey!$A$2:$J$113,10,FALSE)/100)^0.7)*(D31/LARGE($D$2:$D$126,1))^0.8*(E31/LARGE($E$2:$E$126,1))^0.1*(F31/LARGE($F$2:$F$126,1))^0.6*(G31/LARGE($G$2:$G$126,1))^0.35*(1+(LARGE($J$2:$J$126,1)-J31)/LARGE($J$2:$J$126,1))^0.105</f>
        <v>58717.932805616001</v>
      </c>
      <c r="L31" s="33" t="str">
        <f>IFERROR(VLOOKUP(A31,Selecionados!$D$2:$E$101,2,FALSE),"")</f>
        <v/>
      </c>
      <c r="M31" s="32">
        <f>K31*(Selecionados!$Q$4/100)</f>
        <v>1949.4353691464455</v>
      </c>
      <c r="N31" s="32">
        <f>K31*Selecionados!$I$4+(Selecionados!$N$5/100)*K31*Selecionados!$N$4+(Selecionados!$J$5/100)*K31*Selecionados!$J$4</f>
        <v>62924.9527084621</v>
      </c>
    </row>
    <row r="32" spans="1:14" x14ac:dyDescent="0.25">
      <c r="A32" t="s">
        <v>137</v>
      </c>
      <c r="B32" t="s">
        <v>18</v>
      </c>
      <c r="C32" s="29">
        <v>3</v>
      </c>
      <c r="D32" s="29">
        <v>13</v>
      </c>
      <c r="E32" s="29">
        <v>15</v>
      </c>
      <c r="F32" s="29">
        <v>13</v>
      </c>
      <c r="G32" s="29">
        <v>48</v>
      </c>
      <c r="I32" s="33" t="str">
        <f t="shared" si="0"/>
        <v xml:space="preserve">Tecnécio </v>
      </c>
      <c r="J32" s="29">
        <v>7</v>
      </c>
      <c r="K32" s="32">
        <f>50000+IF(L32="",20000,35000*(VLOOKUP(L32,Jockey!$A$2:$J$113,10,FALSE)/100)^0.7)*(D32/LARGE($D$2:$D$126,1))^0.8*(E32/LARGE($E$2:$E$126,1))^0.1*(F32/LARGE($F$2:$F$126,1))^0.6*(G32/LARGE($G$2:$G$126,1))^0.35*(1+(LARGE($J$2:$J$126,1)-J32)/LARGE($J$2:$J$126,1))^0.105</f>
        <v>61220.49641675414</v>
      </c>
      <c r="L32" s="33" t="str">
        <f>IFERROR(VLOOKUP(A32,Selecionados!$D$2:$E$101,2,FALSE),"")</f>
        <v/>
      </c>
      <c r="M32" s="32">
        <f>K32*(Selecionados!$Q$4/100)</f>
        <v>2032.5204810362316</v>
      </c>
      <c r="N32" s="32">
        <f>K32*Selecionados!$I$4+(Selecionados!$N$5/100)*K32*Selecionados!$N$4+(Selecionados!$J$5/100)*K32*Selecionados!$J$4</f>
        <v>65606.819888665777</v>
      </c>
    </row>
    <row r="33" spans="1:14" x14ac:dyDescent="0.25">
      <c r="A33" t="s">
        <v>540</v>
      </c>
      <c r="B33" t="s">
        <v>162</v>
      </c>
      <c r="C33" s="29">
        <v>1</v>
      </c>
      <c r="D33" s="29">
        <v>13</v>
      </c>
      <c r="E33" s="29">
        <v>16</v>
      </c>
      <c r="F33" s="29">
        <v>17</v>
      </c>
      <c r="G33" s="29">
        <v>65</v>
      </c>
      <c r="I33" s="33" t="str">
        <f t="shared" si="0"/>
        <v xml:space="preserve">Rutén </v>
      </c>
      <c r="J33" s="29">
        <v>12</v>
      </c>
      <c r="K33" s="32">
        <f>50000+IF(L33="",20000,35000*(VLOOKUP(L33,Jockey!$A$2:$J$113,10,FALSE)/100)^0.7)*(D33/LARGE($D$2:$D$126,1))^0.8*(E33/LARGE($E$2:$E$126,1))^0.1*(F33/LARGE($F$2:$F$126,1))^0.6*(G33/LARGE($G$2:$G$126,1))^0.35*(1+(LARGE($J$2:$J$126,1)-J33)/LARGE($J$2:$J$126,1))^0.105</f>
        <v>75086.56203195441</v>
      </c>
      <c r="L33" s="33" t="str">
        <f>IFERROR(VLOOKUP(A33,Selecionados!$D$2:$E$101,2,FALSE),"")</f>
        <v>Ernst Mach</v>
      </c>
      <c r="M33" s="32">
        <f>K33*(Selecionados!$Q$4/100)</f>
        <v>2492.873859460879</v>
      </c>
      <c r="N33" s="32">
        <f>K33*Selecionados!$I$4+(Selecionados!$N$5/100)*K33*Selecionados!$N$4+(Selecionados!$J$5/100)*K33*Selecionados!$J$4</f>
        <v>80466.36077164211</v>
      </c>
    </row>
    <row r="34" spans="1:14" x14ac:dyDescent="0.25">
      <c r="A34" t="s">
        <v>541</v>
      </c>
      <c r="B34" t="s">
        <v>33</v>
      </c>
      <c r="C34" s="29">
        <v>3</v>
      </c>
      <c r="D34" s="29">
        <v>14</v>
      </c>
      <c r="E34" s="29">
        <v>10</v>
      </c>
      <c r="F34" s="29">
        <v>11</v>
      </c>
      <c r="G34" s="29">
        <v>39</v>
      </c>
      <c r="I34" s="33" t="str">
        <f t="shared" si="0"/>
        <v xml:space="preserve">Rodium </v>
      </c>
      <c r="J34" s="29">
        <v>10</v>
      </c>
      <c r="K34" s="32">
        <f>50000+IF(L34="",20000,35000*(VLOOKUP(L34,Jockey!$A$2:$J$113,10,FALSE)/100)^0.7)*(D34/LARGE($D$2:$D$126,1))^0.8*(E34/LARGE($E$2:$E$126,1))^0.1*(F34/LARGE($F$2:$F$126,1))^0.6*(G34/LARGE($G$2:$G$126,1))^0.35*(1+(LARGE($J$2:$J$126,1)-J34)/LARGE($J$2:$J$126,1))^0.105</f>
        <v>59463.004755794769</v>
      </c>
      <c r="L34" s="33" t="str">
        <f>IFERROR(VLOOKUP(A34,Selecionados!$D$2:$E$101,2,FALSE),"")</f>
        <v/>
      </c>
      <c r="M34" s="32">
        <f>K34*(Selecionados!$Q$4/100)</f>
        <v>1974.1717578923806</v>
      </c>
      <c r="N34" s="32">
        <f>K34*Selecionados!$I$4+(Selecionados!$N$5/100)*K34*Selecionados!$N$4+(Selecionados!$J$5/100)*K34*Selecionados!$J$4</f>
        <v>63723.407541410801</v>
      </c>
    </row>
    <row r="35" spans="1:14" x14ac:dyDescent="0.25">
      <c r="A35" t="s">
        <v>515</v>
      </c>
      <c r="B35" t="s">
        <v>161</v>
      </c>
      <c r="C35" s="29">
        <v>2</v>
      </c>
      <c r="D35" s="29">
        <v>13</v>
      </c>
      <c r="E35" s="29">
        <v>13</v>
      </c>
      <c r="F35" s="29">
        <v>16</v>
      </c>
      <c r="G35" s="29">
        <v>52</v>
      </c>
      <c r="I35" s="33" t="str">
        <f t="shared" si="0"/>
        <v xml:space="preserve">Paladi </v>
      </c>
      <c r="J35" s="29">
        <v>13</v>
      </c>
      <c r="K35" s="32">
        <f>50000+IF(L35="",20000,35000*(VLOOKUP(L35,Jockey!$A$2:$J$113,10,FALSE)/100)^0.7)*(D35/LARGE($D$2:$D$126,1))^0.8*(E35/LARGE($E$2:$E$126,1))^0.1*(F35/LARGE($F$2:$F$126,1))^0.6*(G35/LARGE($G$2:$G$126,1))^0.35*(1+(LARGE($J$2:$J$126,1)-J35)/LARGE($J$2:$J$126,1))^0.105</f>
        <v>71765.297166274002</v>
      </c>
      <c r="L35" s="33" t="str">
        <f>IFERROR(VLOOKUP(A35,Selecionados!$D$2:$E$101,2,FALSE),"")</f>
        <v>Immanuel Kant</v>
      </c>
      <c r="M35" s="32">
        <f>K35*(Selecionados!$Q$4/100)</f>
        <v>2382.6078659202899</v>
      </c>
      <c r="N35" s="32">
        <f>K35*Selecionados!$I$4+(Selecionados!$N$5/100)*K35*Selecionados!$N$4+(Selecionados!$J$5/100)*K35*Selecionados!$J$4</f>
        <v>76907.134064920814</v>
      </c>
    </row>
    <row r="36" spans="1:14" x14ac:dyDescent="0.25">
      <c r="A36" t="s">
        <v>516</v>
      </c>
      <c r="B36" t="s">
        <v>161</v>
      </c>
      <c r="C36" s="29">
        <v>3</v>
      </c>
      <c r="D36" s="29">
        <v>8</v>
      </c>
      <c r="E36" s="29">
        <v>10</v>
      </c>
      <c r="F36" s="29">
        <v>10</v>
      </c>
      <c r="G36" s="29">
        <v>33</v>
      </c>
      <c r="I36" s="33" t="str">
        <f t="shared" si="0"/>
        <v xml:space="preserve">Argento </v>
      </c>
      <c r="J36" s="29">
        <v>8</v>
      </c>
      <c r="K36" s="32">
        <f>50000+IF(L36="",20000,35000*(VLOOKUP(L36,Jockey!$A$2:$J$113,10,FALSE)/100)^0.7)*(D36/LARGE($D$2:$D$126,1))^0.8*(E36/LARGE($E$2:$E$126,1))^0.1*(F36/LARGE($F$2:$F$126,1))^0.6*(G36/LARGE($G$2:$G$126,1))^0.35*(1+(LARGE($J$2:$J$126,1)-J36)/LARGE($J$2:$J$126,1))^0.105</f>
        <v>59532.632708196201</v>
      </c>
      <c r="L36" s="33" t="str">
        <f>IFERROR(VLOOKUP(A36,Selecionados!$D$2:$E$101,2,FALSE),"")</f>
        <v>Simon Stevin</v>
      </c>
      <c r="M36" s="32">
        <f>K36*(Selecionados!$Q$4/100)</f>
        <v>1976.4834059121081</v>
      </c>
      <c r="N36" s="32">
        <f>K36*Selecionados!$I$4+(Selecionados!$N$5/100)*K36*Selecionados!$N$4+(Selecionados!$J$5/100)*K36*Selecionados!$J$4</f>
        <v>63798.024194325866</v>
      </c>
    </row>
    <row r="37" spans="1:14" x14ac:dyDescent="0.25">
      <c r="A37" t="s">
        <v>601</v>
      </c>
      <c r="B37" t="s">
        <v>166</v>
      </c>
      <c r="C37" s="29">
        <v>1</v>
      </c>
      <c r="D37" s="29">
        <v>17</v>
      </c>
      <c r="E37" s="29">
        <v>11</v>
      </c>
      <c r="F37" s="29">
        <v>15</v>
      </c>
      <c r="G37" s="29">
        <v>48</v>
      </c>
      <c r="I37" s="33" t="str">
        <f t="shared" si="0"/>
        <v xml:space="preserve">Alkadmiwm الكادميوم </v>
      </c>
      <c r="J37" s="29">
        <v>8</v>
      </c>
      <c r="K37" s="32">
        <f>50000+IF(L37="",20000,35000*(VLOOKUP(L37,Jockey!$A$2:$J$113,10,FALSE)/100)^0.7)*(D37/LARGE($D$2:$D$126,1))^0.8*(E37/LARGE($E$2:$E$126,1))^0.1*(F37/LARGE($F$2:$F$126,1))^0.6*(G37/LARGE($G$2:$G$126,1))^0.35*(1+(LARGE($J$2:$J$126,1)-J37)/LARGE($J$2:$J$126,1))^0.105</f>
        <v>75576.940053005805</v>
      </c>
      <c r="L37" s="33" t="str">
        <f>IFERROR(VLOOKUP(A37,Selecionados!$D$2:$E$101,2,FALSE),"")</f>
        <v>Alexander M. Zaitsev</v>
      </c>
      <c r="M37" s="32">
        <f>K37*(Selecionados!$Q$4/100)</f>
        <v>2509.1544097597853</v>
      </c>
      <c r="N37" s="32">
        <f>K37*Selecionados!$I$4+(Selecionados!$N$5/100)*K37*Selecionados!$N$4+(Selecionados!$J$5/100)*K37*Selecionados!$J$4</f>
        <v>80991.873375876326</v>
      </c>
    </row>
    <row r="38" spans="1:14" x14ac:dyDescent="0.25">
      <c r="A38" t="s">
        <v>568</v>
      </c>
      <c r="B38" t="s">
        <v>18</v>
      </c>
      <c r="C38" s="29">
        <v>1</v>
      </c>
      <c r="D38" s="29">
        <v>8</v>
      </c>
      <c r="E38" s="29">
        <v>12</v>
      </c>
      <c r="F38" s="29">
        <v>12</v>
      </c>
      <c r="G38" s="29">
        <v>30</v>
      </c>
      <c r="I38" s="33" t="str">
        <f t="shared" si="0"/>
        <v xml:space="preserve">Índio do Cerrado </v>
      </c>
      <c r="J38" s="29">
        <v>12</v>
      </c>
      <c r="K38" s="32">
        <f>50000+IF(L38="",20000,35000*(VLOOKUP(L38,Jockey!$A$2:$J$113,10,FALSE)/100)^0.7)*(D38/LARGE($D$2:$D$126,1))^0.8*(E38/LARGE($E$2:$E$126,1))^0.1*(F38/LARGE($F$2:$F$126,1))^0.6*(G38/LARGE($G$2:$G$126,1))^0.35*(1+(LARGE($J$2:$J$126,1)-J38)/LARGE($J$2:$J$126,1))^0.105</f>
        <v>60232.38190598286</v>
      </c>
      <c r="L38" s="33" t="str">
        <f>IFERROR(VLOOKUP(A38,Selecionados!$D$2:$E$101,2,FALSE),"")</f>
        <v>Albert Einstein</v>
      </c>
      <c r="M38" s="32">
        <f>K38*(Selecionados!$Q$4/100)</f>
        <v>1999.7150792786251</v>
      </c>
      <c r="N38" s="32">
        <f>K38*Selecionados!$I$4+(Selecionados!$N$5/100)*K38*Selecionados!$N$4+(Selecionados!$J$5/100)*K38*Selecionados!$J$4</f>
        <v>64547.908992284873</v>
      </c>
    </row>
    <row r="39" spans="1:14" x14ac:dyDescent="0.25">
      <c r="A39" t="s">
        <v>517</v>
      </c>
      <c r="B39" t="s">
        <v>161</v>
      </c>
      <c r="C39" s="29">
        <v>1</v>
      </c>
      <c r="D39" s="29">
        <v>9</v>
      </c>
      <c r="E39" s="29">
        <v>15</v>
      </c>
      <c r="F39" s="29">
        <v>15</v>
      </c>
      <c r="G39" s="29">
        <v>58</v>
      </c>
      <c r="I39" s="33" t="str">
        <f t="shared" si="0"/>
        <v xml:space="preserve">Stagno </v>
      </c>
      <c r="J39" s="29">
        <v>7</v>
      </c>
      <c r="K39" s="32">
        <f>50000+IF(L39="",20000,35000*(VLOOKUP(L39,Jockey!$A$2:$J$113,10,FALSE)/100)^0.7)*(D39/LARGE($D$2:$D$126,1))^0.8*(E39/LARGE($E$2:$E$126,1))^0.1*(F39/LARGE($F$2:$F$126,1))^0.6*(G39/LARGE($G$2:$G$126,1))^0.35*(1+(LARGE($J$2:$J$126,1)-J39)/LARGE($J$2:$J$126,1))^0.105</f>
        <v>67035.055565082352</v>
      </c>
      <c r="L39" s="33" t="str">
        <f>IFERROR(VLOOKUP(A39,Selecionados!$D$2:$E$101,2,FALSE),"")</f>
        <v>Augustin-Louis Cauchy</v>
      </c>
      <c r="M39" s="32">
        <f>K39*(Selecionados!$Q$4/100)</f>
        <v>2225.5638447607275</v>
      </c>
      <c r="N39" s="32">
        <f>K39*Selecionados!$I$4+(Selecionados!$N$5/100)*K39*Selecionados!$N$4+(Selecionados!$J$5/100)*K39*Selecionados!$J$4</f>
        <v>71837.980318654794</v>
      </c>
    </row>
    <row r="40" spans="1:14" x14ac:dyDescent="0.25">
      <c r="A40" t="s">
        <v>542</v>
      </c>
      <c r="B40" t="s">
        <v>18</v>
      </c>
      <c r="C40" s="29">
        <v>1</v>
      </c>
      <c r="D40" s="29">
        <v>11</v>
      </c>
      <c r="E40" s="29">
        <v>12</v>
      </c>
      <c r="F40" s="29">
        <v>17</v>
      </c>
      <c r="G40" s="29">
        <v>60</v>
      </c>
      <c r="I40" s="33" t="str">
        <f t="shared" si="0"/>
        <v xml:space="preserve">Estibinão </v>
      </c>
      <c r="J40" s="29">
        <v>9</v>
      </c>
      <c r="K40" s="32">
        <f>50000+IF(L40="",20000,35000*(VLOOKUP(L40,Jockey!$A$2:$J$113,10,FALSE)/100)^0.7)*(D40/LARGE($D$2:$D$126,1))^0.8*(E40/LARGE($E$2:$E$126,1))^0.1*(F40/LARGE($F$2:$F$126,1))^0.6*(G40/LARGE($G$2:$G$126,1))^0.35*(1+(LARGE($J$2:$J$126,1)-J40)/LARGE($J$2:$J$126,1))^0.105</f>
        <v>71114.292479647615</v>
      </c>
      <c r="L40" s="33" t="str">
        <f>IFERROR(VLOOKUP(A40,Selecionados!$D$2:$E$101,2,FALSE),"")</f>
        <v>Robert Boyle</v>
      </c>
      <c r="M40" s="32">
        <f>K40*(Selecionados!$Q$4/100)</f>
        <v>2360.994510324294</v>
      </c>
      <c r="N40" s="32">
        <f>K40*Selecionados!$I$4+(Selecionados!$N$5/100)*K40*Selecionados!$N$4+(Selecionados!$J$5/100)*K40*Selecionados!$J$4</f>
        <v>76209.48622274345</v>
      </c>
    </row>
    <row r="41" spans="1:14" x14ac:dyDescent="0.25">
      <c r="A41" t="s">
        <v>543</v>
      </c>
      <c r="B41" t="s">
        <v>33</v>
      </c>
      <c r="C41" s="29">
        <v>1</v>
      </c>
      <c r="D41" s="29">
        <v>11</v>
      </c>
      <c r="E41" s="29">
        <v>9</v>
      </c>
      <c r="F41" s="29">
        <v>13</v>
      </c>
      <c r="G41" s="29">
        <v>38</v>
      </c>
      <c r="I41" s="33" t="str">
        <f t="shared" si="0"/>
        <v xml:space="preserve">Tellurium </v>
      </c>
      <c r="J41" s="29">
        <v>12</v>
      </c>
      <c r="K41" s="32">
        <f>50000+IF(L41="",20000,35000*(VLOOKUP(L41,Jockey!$A$2:$J$113,10,FALSE)/100)^0.7)*(D41/LARGE($D$2:$D$126,1))^0.8*(E41/LARGE($E$2:$E$126,1))^0.1*(F41/LARGE($F$2:$F$126,1))^0.6*(G41/LARGE($G$2:$G$126,1))^0.35*(1+(LARGE($J$2:$J$126,1)-J41)/LARGE($J$2:$J$126,1))^0.105</f>
        <v>64618.880275160715</v>
      </c>
      <c r="L41" s="33" t="str">
        <f>IFERROR(VLOOKUP(A41,Selecionados!$D$2:$E$101,2,FALSE),"")</f>
        <v>Hans Stammreich</v>
      </c>
      <c r="M41" s="32">
        <f>K41*(Selecionados!$Q$4/100)</f>
        <v>2145.3468251353293</v>
      </c>
      <c r="N41" s="32">
        <f>K41*Selecionados!$I$4+(Selecionados!$N$5/100)*K41*Selecionados!$N$4+(Selecionados!$J$5/100)*K41*Selecionados!$J$4</f>
        <v>69248.691006359179</v>
      </c>
    </row>
    <row r="42" spans="1:14" x14ac:dyDescent="0.25">
      <c r="A42" t="s">
        <v>602</v>
      </c>
      <c r="B42" t="s">
        <v>166</v>
      </c>
      <c r="C42" s="29">
        <v>3</v>
      </c>
      <c r="D42" s="29">
        <v>11</v>
      </c>
      <c r="E42" s="29">
        <v>15</v>
      </c>
      <c r="F42" s="29">
        <v>12</v>
      </c>
      <c r="G42" s="29">
        <v>30</v>
      </c>
      <c r="I42" s="33" t="str">
        <f t="shared" si="0"/>
        <v xml:space="preserve">Zaynun زينون </v>
      </c>
      <c r="J42" s="29">
        <v>12</v>
      </c>
      <c r="K42" s="32">
        <f>50000+IF(L42="",20000,35000*(VLOOKUP(L42,Jockey!$A$2:$J$113,10,FALSE)/100)^0.7)*(D42/LARGE($D$2:$D$126,1))^0.8*(E42/LARGE($E$2:$E$126,1))^0.1*(F42/LARGE($F$2:$F$126,1))^0.6*(G42/LARGE($G$2:$G$126,1))^0.35*(1+(LARGE($J$2:$J$126,1)-J42)/LARGE($J$2:$J$126,1))^0.105</f>
        <v>63499.258098563143</v>
      </c>
      <c r="L42" s="33" t="str">
        <f>IFERROR(VLOOKUP(A42,Selecionados!$D$2:$E$101,2,FALSE),"")</f>
        <v>Brahmagupta de Rajastão</v>
      </c>
      <c r="M42" s="32">
        <f>K42*(Selecionados!$Q$4/100)</f>
        <v>2108.1753688722902</v>
      </c>
      <c r="N42" s="32">
        <f>K42*Selecionados!$I$4+(Selecionados!$N$5/100)*K42*Selecionados!$N$4+(Selecionados!$J$5/100)*K42*Selecionados!$J$4</f>
        <v>68048.85018861483</v>
      </c>
    </row>
    <row r="43" spans="1:14" x14ac:dyDescent="0.25">
      <c r="A43" t="s">
        <v>578</v>
      </c>
      <c r="B43" t="s">
        <v>164</v>
      </c>
      <c r="C43" s="29">
        <v>1</v>
      </c>
      <c r="D43" s="29">
        <v>10</v>
      </c>
      <c r="E43" s="29">
        <v>13</v>
      </c>
      <c r="F43" s="29">
        <v>12</v>
      </c>
      <c r="G43" s="29">
        <v>45</v>
      </c>
      <c r="I43" s="33" t="str">
        <f t="shared" si="0"/>
        <v xml:space="preserve">ሲሲየም </v>
      </c>
      <c r="J43" s="29">
        <v>10</v>
      </c>
      <c r="K43" s="32">
        <f>50000+IF(L43="",20000,35000*(VLOOKUP(L43,Jockey!$A$2:$J$113,10,FALSE)/100)^0.7)*(D43/LARGE($D$2:$D$126,1))^0.8*(E43/LARGE($E$2:$E$126,1))^0.1*(F43/LARGE($F$2:$F$126,1))^0.6*(G43/LARGE($G$2:$G$126,1))^0.35*(1+(LARGE($J$2:$J$126,1)-J43)/LARGE($J$2:$J$126,1))^0.105</f>
        <v>64387.452990338097</v>
      </c>
      <c r="L43" s="33" t="str">
        <f>IFERROR(VLOOKUP(A43,Selecionados!$D$2:$E$101,2,FALSE),"")</f>
        <v>Rudolf Clausius</v>
      </c>
      <c r="M43" s="32">
        <f>K43*(Selecionados!$Q$4/100)</f>
        <v>2137.6634392792184</v>
      </c>
      <c r="N43" s="32">
        <f>K43*Selecionados!$I$4+(Selecionados!$N$5/100)*K43*Selecionados!$N$4+(Selecionados!$J$5/100)*K43*Selecionados!$J$4</f>
        <v>69000.682429471432</v>
      </c>
    </row>
    <row r="44" spans="1:14" x14ac:dyDescent="0.25">
      <c r="A44" t="s">
        <v>544</v>
      </c>
      <c r="B44" t="s">
        <v>161</v>
      </c>
      <c r="C44" s="29">
        <v>1</v>
      </c>
      <c r="D44" s="29">
        <v>15</v>
      </c>
      <c r="E44" s="29">
        <v>17</v>
      </c>
      <c r="F44" s="29">
        <v>18</v>
      </c>
      <c r="G44" s="29">
        <v>70</v>
      </c>
      <c r="I44" s="33" t="str">
        <f t="shared" si="0"/>
        <v xml:space="preserve">Barión </v>
      </c>
      <c r="J44" s="29">
        <v>12</v>
      </c>
      <c r="K44" s="32">
        <f>50000+IF(L44="",20000,35000*(VLOOKUP(L44,Jockey!$A$2:$J$113,10,FALSE)/100)^0.7)*(D44/LARGE($D$2:$D$126,1))^0.8*(E44/LARGE($E$2:$E$126,1))^0.1*(F44/LARGE($F$2:$F$126,1))^0.6*(G44/LARGE($G$2:$G$126,1))^0.35*(1+(LARGE($J$2:$J$126,1)-J44)/LARGE($J$2:$J$126,1))^0.105</f>
        <v>67175.647083188349</v>
      </c>
      <c r="L44" s="33" t="str">
        <f>IFERROR(VLOOKUP(A44,Selecionados!$D$2:$E$101,2,FALSE),"")</f>
        <v/>
      </c>
      <c r="M44" s="32">
        <f>K44*(Selecionados!$Q$4/100)</f>
        <v>2230.2314831618469</v>
      </c>
      <c r="N44" s="32">
        <f>K44*Selecionados!$I$4+(Selecionados!$N$5/100)*K44*Selecionados!$N$4+(Selecionados!$J$5/100)*K44*Selecionados!$J$4</f>
        <v>71988.644931752075</v>
      </c>
    </row>
    <row r="45" spans="1:14" x14ac:dyDescent="0.25">
      <c r="A45" t="s">
        <v>545</v>
      </c>
      <c r="B45" t="s">
        <v>165</v>
      </c>
      <c r="C45" s="29">
        <v>1</v>
      </c>
      <c r="D45" s="29">
        <v>11</v>
      </c>
      <c r="E45" s="29">
        <v>10</v>
      </c>
      <c r="F45" s="29">
        <v>14</v>
      </c>
      <c r="G45" s="29">
        <v>38</v>
      </c>
      <c r="I45" s="33" t="str">
        <f t="shared" si="0"/>
        <v xml:space="preserve">Lantane </v>
      </c>
      <c r="J45" s="29">
        <v>12</v>
      </c>
      <c r="K45" s="32">
        <f>50000+IF(L45="",20000,35000*(VLOOKUP(L45,Jockey!$A$2:$J$113,10,FALSE)/100)^0.7)*(D45/LARGE($D$2:$D$126,1))^0.8*(E45/LARGE($E$2:$E$126,1))^0.1*(F45/LARGE($F$2:$F$126,1))^0.6*(G45/LARGE($G$2:$G$126,1))^0.35*(1+(LARGE($J$2:$J$126,1)-J45)/LARGE($J$2:$J$126,1))^0.105</f>
        <v>65445.453646541166</v>
      </c>
      <c r="L45" s="33" t="str">
        <f>IFERROR(VLOOKUP(A45,Selecionados!$D$2:$E$101,2,FALSE),"")</f>
        <v>Hipócrates de Cós</v>
      </c>
      <c r="M45" s="32">
        <f>K45*(Selecionados!$Q$4/100)</f>
        <v>2172.7890610651602</v>
      </c>
      <c r="N45" s="32">
        <f>K45*Selecionados!$I$4+(Selecionados!$N$5/100)*K45*Selecionados!$N$4+(Selecionados!$J$5/100)*K45*Selecionados!$J$4</f>
        <v>70134.486670800776</v>
      </c>
    </row>
    <row r="46" spans="1:14" x14ac:dyDescent="0.25">
      <c r="A46" t="s">
        <v>546</v>
      </c>
      <c r="B46" t="s">
        <v>163</v>
      </c>
      <c r="C46" s="29">
        <v>3</v>
      </c>
      <c r="D46" s="29">
        <v>3</v>
      </c>
      <c r="E46" s="29">
        <v>14</v>
      </c>
      <c r="F46" s="29">
        <v>9</v>
      </c>
      <c r="G46" s="29">
        <v>37</v>
      </c>
      <c r="I46" s="33" t="str">
        <f t="shared" si="0"/>
        <v xml:space="preserve">Tsyerium </v>
      </c>
      <c r="J46" s="29">
        <v>9</v>
      </c>
      <c r="K46" s="32">
        <f>50000+IF(L46="",20000,35000*(VLOOKUP(L46,Jockey!$A$2:$J$113,10,FALSE)/100)^0.7)*(D46/LARGE($D$2:$D$126,1))^0.8*(E46/LARGE($E$2:$E$126,1))^0.1*(F46/LARGE($F$2:$F$126,1))^0.6*(G46/LARGE($G$2:$G$126,1))^0.35*(1+(LARGE($J$2:$J$126,1)-J46)/LARGE($J$2:$J$126,1))^0.105</f>
        <v>54371.675184948777</v>
      </c>
      <c r="L46" s="33" t="str">
        <f>IFERROR(VLOOKUP(A46,Selecionados!$D$2:$E$101,2,FALSE),"")</f>
        <v>Fritz Feigl</v>
      </c>
      <c r="M46" s="32">
        <f>K46*(Selecionados!$Q$4/100)</f>
        <v>1805.139616140294</v>
      </c>
      <c r="N46" s="32">
        <f>K46*Selecionados!$I$4+(Selecionados!$N$5/100)*K46*Selecionados!$N$4+(Selecionados!$J$5/100)*K46*Selecionados!$J$4</f>
        <v>58267.294610302342</v>
      </c>
    </row>
    <row r="47" spans="1:14" x14ac:dyDescent="0.25">
      <c r="A47" t="s">
        <v>547</v>
      </c>
      <c r="B47" t="s">
        <v>33</v>
      </c>
      <c r="C47" s="29">
        <v>2</v>
      </c>
      <c r="D47" s="29">
        <v>16</v>
      </c>
      <c r="E47" s="29">
        <v>14</v>
      </c>
      <c r="F47" s="29">
        <v>9</v>
      </c>
      <c r="G47" s="29">
        <v>33</v>
      </c>
      <c r="I47" s="33" t="str">
        <f t="shared" si="0"/>
        <v xml:space="preserve">Praseodymium </v>
      </c>
      <c r="J47" s="29">
        <v>7</v>
      </c>
      <c r="K47" s="32">
        <f>50000+IF(L47="",20000,35000*(VLOOKUP(L47,Jockey!$A$2:$J$113,10,FALSE)/100)^0.7)*(D47/LARGE($D$2:$D$126,1))^0.8*(E47/LARGE($E$2:$E$126,1))^0.1*(F47/LARGE($F$2:$F$126,1))^0.6*(G47/LARGE($G$2:$G$126,1))^0.35*(1+(LARGE($J$2:$J$126,1)-J47)/LARGE($J$2:$J$126,1))^0.105</f>
        <v>59255.118708186797</v>
      </c>
      <c r="L47" s="33" t="str">
        <f>IFERROR(VLOOKUP(A47,Selecionados!$D$2:$E$101,2,FALSE),"")</f>
        <v/>
      </c>
      <c r="M47" s="32">
        <f>K47*(Selecionados!$Q$4/100)</f>
        <v>1967.269941111796</v>
      </c>
      <c r="N47" s="32">
        <f>K47*Selecionados!$I$4+(Selecionados!$N$5/100)*K47*Selecionados!$N$4+(Selecionados!$J$5/100)*K47*Selecionados!$J$4</f>
        <v>63500.626883280587</v>
      </c>
    </row>
    <row r="48" spans="1:14" x14ac:dyDescent="0.25">
      <c r="A48" t="s">
        <v>589</v>
      </c>
      <c r="B48" t="s">
        <v>160</v>
      </c>
      <c r="C48" s="29">
        <v>1</v>
      </c>
      <c r="D48" s="29">
        <v>14</v>
      </c>
      <c r="E48" s="29">
        <v>13</v>
      </c>
      <c r="F48" s="29">
        <v>17</v>
      </c>
      <c r="G48" s="29">
        <v>66</v>
      </c>
      <c r="I48" s="33" t="str">
        <f t="shared" si="0"/>
        <v xml:space="preserve">Nǚ 钕 </v>
      </c>
      <c r="J48" s="29">
        <v>13</v>
      </c>
      <c r="K48" s="32">
        <f>50000+IF(L48="",20000,35000*(VLOOKUP(L48,Jockey!$A$2:$J$113,10,FALSE)/100)^0.7)*(D48/LARGE($D$2:$D$126,1))^0.8*(E48/LARGE($E$2:$E$126,1))^0.1*(F48/LARGE($F$2:$F$126,1))^0.6*(G48/LARGE($G$2:$G$126,1))^0.35*(1+(LARGE($J$2:$J$126,1)-J48)/LARGE($J$2:$J$126,1))^0.105</f>
        <v>76034.48062556739</v>
      </c>
      <c r="L48" s="33" t="str">
        <f>IFERROR(VLOOKUP(A48,Selecionados!$D$2:$E$101,2,FALSE),"")</f>
        <v>Erwin Schrödinger</v>
      </c>
      <c r="M48" s="32">
        <f>K48*(Selecionados!$Q$4/100)</f>
        <v>2524.3447567688299</v>
      </c>
      <c r="N48" s="32">
        <f>K48*Selecionados!$I$4+(Selecionados!$N$5/100)*K48*Selecionados!$N$4+(Selecionados!$J$5/100)*K48*Selecionados!$J$4</f>
        <v>81482.195795535605</v>
      </c>
    </row>
    <row r="49" spans="1:14" x14ac:dyDescent="0.25">
      <c r="A49" t="s">
        <v>590</v>
      </c>
      <c r="B49" t="s">
        <v>160</v>
      </c>
      <c r="C49" s="29">
        <v>2</v>
      </c>
      <c r="D49" s="29">
        <v>14</v>
      </c>
      <c r="E49" s="29">
        <v>11</v>
      </c>
      <c r="F49" s="29">
        <v>11</v>
      </c>
      <c r="G49" s="29">
        <v>28</v>
      </c>
      <c r="I49" s="33" t="str">
        <f t="shared" si="0"/>
        <v xml:space="preserve">Pǒ 钷 </v>
      </c>
      <c r="J49" s="29">
        <v>7</v>
      </c>
      <c r="K49" s="32">
        <f>50000+IF(L49="",20000,35000*(VLOOKUP(L49,Jockey!$A$2:$J$113,10,FALSE)/100)^0.7)*(D49/LARGE($D$2:$D$126,1))^0.8*(E49/LARGE($E$2:$E$126,1))^0.1*(F49/LARGE($F$2:$F$126,1))^0.6*(G49/LARGE($G$2:$G$126,1))^0.35*(1+(LARGE($J$2:$J$126,1)-J49)/LARGE($J$2:$J$126,1))^0.105</f>
        <v>58646.302750403833</v>
      </c>
      <c r="L49" s="33" t="str">
        <f>IFERROR(VLOOKUP(A49,Selecionados!$D$2:$E$101,2,FALSE),"")</f>
        <v/>
      </c>
      <c r="M49" s="32">
        <f>K49*(Selecionados!$Q$4/100)</f>
        <v>1947.0572513134016</v>
      </c>
      <c r="N49" s="32">
        <f>K49*Selecionados!$I$4+(Selecionados!$N$5/100)*K49*Selecionados!$N$4+(Selecionados!$J$5/100)*K49*Selecionados!$J$4</f>
        <v>62848.19050616095</v>
      </c>
    </row>
    <row r="50" spans="1:14" x14ac:dyDescent="0.25">
      <c r="A50" t="s">
        <v>548</v>
      </c>
      <c r="B50" t="s">
        <v>33</v>
      </c>
      <c r="C50" s="29">
        <v>1</v>
      </c>
      <c r="D50" s="29">
        <v>12</v>
      </c>
      <c r="E50" s="29">
        <v>16</v>
      </c>
      <c r="F50" s="29">
        <v>14</v>
      </c>
      <c r="G50" s="29">
        <v>31</v>
      </c>
      <c r="I50" s="33" t="str">
        <f t="shared" si="0"/>
        <v xml:space="preserve">Samary </v>
      </c>
      <c r="J50" s="29">
        <v>8</v>
      </c>
      <c r="K50" s="32">
        <f>50000+IF(L50="",20000,35000*(VLOOKUP(L50,Jockey!$A$2:$J$113,10,FALSE)/100)^0.7)*(D50/LARGE($D$2:$D$126,1))^0.8*(E50/LARGE($E$2:$E$126,1))^0.1*(F50/LARGE($F$2:$F$126,1))^0.6*(G50/LARGE($G$2:$G$126,1))^0.35*(1+(LARGE($J$2:$J$126,1)-J50)/LARGE($J$2:$J$126,1))^0.105</f>
        <v>66545.176360325058</v>
      </c>
      <c r="L50" s="33" t="str">
        <f>IFERROR(VLOOKUP(A50,Selecionados!$D$2:$E$101,2,FALSE),"")</f>
        <v>Pierre-Simon Laplace</v>
      </c>
      <c r="M50" s="32">
        <f>K50*(Selecionados!$Q$4/100)</f>
        <v>2209.2998551627857</v>
      </c>
      <c r="N50" s="32">
        <f>K50*Selecionados!$I$4+(Selecionados!$N$5/100)*K50*Selecionados!$N$4+(Selecionados!$J$5/100)*K50*Selecionados!$J$4</f>
        <v>71313.002269882883</v>
      </c>
    </row>
    <row r="51" spans="1:14" x14ac:dyDescent="0.25">
      <c r="A51" t="s">
        <v>591</v>
      </c>
      <c r="B51" t="s">
        <v>160</v>
      </c>
      <c r="C51" s="29">
        <v>1</v>
      </c>
      <c r="D51" s="29">
        <v>14</v>
      </c>
      <c r="E51" s="29">
        <v>16</v>
      </c>
      <c r="F51" s="29">
        <v>16</v>
      </c>
      <c r="G51" s="29">
        <v>45</v>
      </c>
      <c r="I51" s="33" t="str">
        <f t="shared" si="0"/>
        <v xml:space="preserve">Yǒu 铕銪 </v>
      </c>
      <c r="J51" s="29">
        <v>9</v>
      </c>
      <c r="K51" s="32">
        <f>50000+IF(L51="",20000,35000*(VLOOKUP(L51,Jockey!$A$2:$J$113,10,FALSE)/100)^0.7)*(D51/LARGE($D$2:$D$126,1))^0.8*(E51/LARGE($E$2:$E$126,1))^0.1*(F51/LARGE($F$2:$F$126,1))^0.6*(G51/LARGE($G$2:$G$126,1))^0.35*(1+(LARGE($J$2:$J$126,1)-J51)/LARGE($J$2:$J$126,1))^0.105</f>
        <v>72979.086832128567</v>
      </c>
      <c r="L51" s="33" t="str">
        <f>IFERROR(VLOOKUP(A51,Selecionados!$D$2:$E$101,2,FALSE),"")</f>
        <v>Louis Pasteur</v>
      </c>
      <c r="M51" s="32">
        <f>K51*(Selecionados!$Q$4/100)</f>
        <v>2422.9056828266612</v>
      </c>
      <c r="N51" s="32">
        <f>K51*Selecionados!$I$4+(Selecionados!$N$5/100)*K51*Selecionados!$N$4+(Selecionados!$J$5/100)*K51*Selecionados!$J$4</f>
        <v>78207.889280108051</v>
      </c>
    </row>
    <row r="52" spans="1:14" x14ac:dyDescent="0.25">
      <c r="A52" t="s">
        <v>549</v>
      </c>
      <c r="B52" t="s">
        <v>18</v>
      </c>
      <c r="C52" s="29">
        <v>1</v>
      </c>
      <c r="D52" s="29">
        <v>18</v>
      </c>
      <c r="E52" s="29">
        <v>14</v>
      </c>
      <c r="F52" s="29">
        <v>13</v>
      </c>
      <c r="G52" s="29">
        <v>50</v>
      </c>
      <c r="I52" s="33" t="str">
        <f t="shared" si="0"/>
        <v xml:space="preserve">Gadolin Colorado </v>
      </c>
      <c r="J52" s="29">
        <v>13</v>
      </c>
      <c r="K52" s="32">
        <f>50000+IF(L52="",20000,35000*(VLOOKUP(L52,Jockey!$A$2:$J$113,10,FALSE)/100)^0.7)*(D52/LARGE($D$2:$D$126,1))^0.8*(E52/LARGE($E$2:$E$126,1))^0.1*(F52/LARGE($F$2:$F$126,1))^0.6*(G52/LARGE($G$2:$G$126,1))^0.35*(1+(LARGE($J$2:$J$126,1)-J52)/LARGE($J$2:$J$126,1))^0.105</f>
        <v>64156.004628813876</v>
      </c>
      <c r="L52" s="33" t="str">
        <f>IFERROR(VLOOKUP(A52,Selecionados!$D$2:$E$101,2,FALSE),"")</f>
        <v/>
      </c>
      <c r="M52" s="32">
        <f>K52*(Selecionados!$Q$4/100)</f>
        <v>2129.9793536766147</v>
      </c>
      <c r="N52" s="32">
        <f>K52*Selecionados!$I$4+(Selecionados!$N$5/100)*K52*Selecionados!$N$4+(Selecionados!$J$5/100)*K52*Selecionados!$J$4</f>
        <v>68752.651265779481</v>
      </c>
    </row>
    <row r="53" spans="1:14" x14ac:dyDescent="0.25">
      <c r="A53" t="s">
        <v>550</v>
      </c>
      <c r="B53" t="s">
        <v>33</v>
      </c>
      <c r="C53" s="29">
        <v>3</v>
      </c>
      <c r="D53" s="29">
        <v>9</v>
      </c>
      <c r="E53" s="29">
        <v>15</v>
      </c>
      <c r="F53" s="29">
        <v>7</v>
      </c>
      <c r="G53" s="29">
        <v>27</v>
      </c>
      <c r="I53" s="33" t="str">
        <f t="shared" si="0"/>
        <v xml:space="preserve">Terby </v>
      </c>
      <c r="J53" s="29">
        <v>11</v>
      </c>
      <c r="K53" s="32">
        <f>50000+IF(L53="",20000,35000*(VLOOKUP(L53,Jockey!$A$2:$J$113,10,FALSE)/100)^0.7)*(D53/LARGE($D$2:$D$126,1))^0.8*(E53/LARGE($E$2:$E$126,1))^0.1*(F53/LARGE($F$2:$F$126,1))^0.6*(G53/LARGE($G$2:$G$126,1))^0.35*(1+(LARGE($J$2:$J$126,1)-J53)/LARGE($J$2:$J$126,1))^0.105</f>
        <v>58070.292090797928</v>
      </c>
      <c r="L53" s="33" t="str">
        <f>IFERROR(VLOOKUP(A53,Selecionados!$D$2:$E$101,2,FALSE),"")</f>
        <v>Josiah Willard Gibbs</v>
      </c>
      <c r="M53" s="32">
        <f>K53*(Selecionados!$Q$4/100)</f>
        <v>1927.9336974144856</v>
      </c>
      <c r="N53" s="32">
        <f>K53*Selecionados!$I$4+(Selecionados!$N$5/100)*K53*Selecionados!$N$4+(Selecionados!$J$5/100)*K53*Selecionados!$J$4</f>
        <v>62230.909859799285</v>
      </c>
    </row>
    <row r="54" spans="1:14" x14ac:dyDescent="0.25">
      <c r="A54" t="s">
        <v>592</v>
      </c>
      <c r="B54" t="s">
        <v>160</v>
      </c>
      <c r="C54" s="29">
        <v>1</v>
      </c>
      <c r="D54" s="29">
        <v>18</v>
      </c>
      <c r="E54" s="29">
        <v>14</v>
      </c>
      <c r="F54" s="29">
        <v>15</v>
      </c>
      <c r="G54" s="29">
        <v>46</v>
      </c>
      <c r="I54" s="33" t="str">
        <f t="shared" si="0"/>
        <v xml:space="preserve">Dí 鏑 </v>
      </c>
      <c r="J54" s="29">
        <v>14</v>
      </c>
      <c r="K54" s="32">
        <f>50000+IF(L54="",20000,35000*(VLOOKUP(L54,Jockey!$A$2:$J$113,10,FALSE)/100)^0.7)*(D54/LARGE($D$2:$D$126,1))^0.8*(E54/LARGE($E$2:$E$126,1))^0.1*(F54/LARGE($F$2:$F$126,1))^0.6*(G54/LARGE($G$2:$G$126,1))^0.35*(1+(LARGE($J$2:$J$126,1)-J54)/LARGE($J$2:$J$126,1))^0.105</f>
        <v>76028.377078734367</v>
      </c>
      <c r="L54" s="33" t="str">
        <f>IFERROR(VLOOKUP(A54,Selecionados!$D$2:$E$101,2,FALSE),"")</f>
        <v>JB Joseph Fourier</v>
      </c>
      <c r="M54" s="32">
        <f>K54*(Selecionados!$Q$4/100)</f>
        <v>2524.1421190139736</v>
      </c>
      <c r="N54" s="32">
        <f>K54*Selecionados!$I$4+(Selecionados!$N$5/100)*K54*Selecionados!$N$4+(Selecionados!$J$5/100)*K54*Selecionados!$J$4</f>
        <v>81475.654942043824</v>
      </c>
    </row>
    <row r="55" spans="1:14" x14ac:dyDescent="0.25">
      <c r="A55" t="s">
        <v>551</v>
      </c>
      <c r="B55" t="s">
        <v>33</v>
      </c>
      <c r="C55" s="29">
        <v>1</v>
      </c>
      <c r="D55" s="29">
        <v>14</v>
      </c>
      <c r="E55" s="29">
        <v>11</v>
      </c>
      <c r="F55" s="29">
        <v>15</v>
      </c>
      <c r="G55" s="29">
        <v>61</v>
      </c>
      <c r="I55" s="33" t="str">
        <f t="shared" si="0"/>
        <v xml:space="preserve">Holm </v>
      </c>
      <c r="J55" s="29">
        <v>10</v>
      </c>
      <c r="K55" s="32">
        <f>50000+IF(L55="",20000,35000*(VLOOKUP(L55,Jockey!$A$2:$J$113,10,FALSE)/100)^0.7)*(D55/LARGE($D$2:$D$126,1))^0.8*(E55/LARGE($E$2:$E$126,1))^0.1*(F55/LARGE($F$2:$F$126,1))^0.6*(G55/LARGE($G$2:$G$126,1))^0.35*(1+(LARGE($J$2:$J$126,1)-J55)/LARGE($J$2:$J$126,1))^0.105</f>
        <v>73551.487908785595</v>
      </c>
      <c r="L55" s="33" t="str">
        <f>IFERROR(VLOOKUP(A55,Selecionados!$D$2:$E$101,2,FALSE),"")</f>
        <v>Ariabatta de Patná</v>
      </c>
      <c r="M55" s="32">
        <f>K55*(Selecionados!$Q$4/100)</f>
        <v>2441.9093985716745</v>
      </c>
      <c r="N55" s="32">
        <f>K55*Selecionados!$I$4+(Selecionados!$N$5/100)*K55*Selecionados!$N$4+(Selecionados!$J$5/100)*K55*Selecionados!$J$4</f>
        <v>78821.301724278266</v>
      </c>
    </row>
    <row r="56" spans="1:14" x14ac:dyDescent="0.25">
      <c r="A56" t="s">
        <v>552</v>
      </c>
      <c r="B56" t="s">
        <v>33</v>
      </c>
      <c r="C56" s="29">
        <v>1</v>
      </c>
      <c r="D56" s="29">
        <v>17</v>
      </c>
      <c r="E56" s="29">
        <v>15</v>
      </c>
      <c r="F56" s="29">
        <v>16</v>
      </c>
      <c r="G56" s="29">
        <v>57</v>
      </c>
      <c r="I56" s="33" t="str">
        <f t="shared" si="0"/>
        <v xml:space="preserve">Erbeen </v>
      </c>
      <c r="J56" s="29">
        <v>14</v>
      </c>
      <c r="K56" s="32">
        <f>50000+IF(L56="",20000,35000*(VLOOKUP(L56,Jockey!$A$2:$J$113,10,FALSE)/100)^0.7)*(D56/LARGE($D$2:$D$126,1))^0.8*(E56/LARGE($E$2:$E$126,1))^0.1*(F56/LARGE($F$2:$F$126,1))^0.6*(G56/LARGE($G$2:$G$126,1))^0.35*(1+(LARGE($J$2:$J$126,1)-J56)/LARGE($J$2:$J$126,1))^0.105</f>
        <v>78053.867259640276</v>
      </c>
      <c r="L56" s="33" t="str">
        <f>IFERROR(VLOOKUP(A56,Selecionados!$D$2:$E$101,2,FALSE),"")</f>
        <v>Jules Henri Poincaré</v>
      </c>
      <c r="M56" s="32">
        <f>K56*(Selecionados!$Q$4/100)</f>
        <v>2591.3883930200495</v>
      </c>
      <c r="N56" s="32">
        <f>K56*Selecionados!$I$4+(Selecionados!$N$5/100)*K56*Selecionados!$N$4+(Selecionados!$J$5/100)*K56*Selecionados!$J$4</f>
        <v>83646.267355578384</v>
      </c>
    </row>
    <row r="57" spans="1:14" x14ac:dyDescent="0.25">
      <c r="A57" t="s">
        <v>518</v>
      </c>
      <c r="B57" t="s">
        <v>161</v>
      </c>
      <c r="C57" s="29">
        <v>3</v>
      </c>
      <c r="D57" s="29">
        <v>16</v>
      </c>
      <c r="E57" s="29">
        <v>13</v>
      </c>
      <c r="F57" s="29">
        <v>12</v>
      </c>
      <c r="G57" s="29">
        <v>42</v>
      </c>
      <c r="I57" s="33" t="str">
        <f t="shared" si="0"/>
        <v xml:space="preserve">Tulío </v>
      </c>
      <c r="J57" s="29">
        <v>12</v>
      </c>
      <c r="K57" s="32">
        <f>50000+IF(L57="",20000,35000*(VLOOKUP(L57,Jockey!$A$2:$J$113,10,FALSE)/100)^0.7)*(D57/LARGE($D$2:$D$126,1))^0.8*(E57/LARGE($E$2:$E$126,1))^0.1*(F57/LARGE($F$2:$F$126,1))^0.6*(G57/LARGE($G$2:$G$126,1))^0.35*(1+(LARGE($J$2:$J$126,1)-J57)/LARGE($J$2:$J$126,1))^0.105</f>
        <v>70203.274319153104</v>
      </c>
      <c r="L57" s="33" t="str">
        <f>IFERROR(VLOOKUP(A57,Selecionados!$D$2:$E$101,2,FALSE),"")</f>
        <v>Heinrich Hertz</v>
      </c>
      <c r="M57" s="32">
        <f>K57*(Selecionados!$Q$4/100)</f>
        <v>2330.7487073958764</v>
      </c>
      <c r="N57" s="32">
        <f>K57*Selecionados!$I$4+(Selecionados!$N$5/100)*K57*Selecionados!$N$4+(Selecionados!$J$5/100)*K57*Selecionados!$J$4</f>
        <v>75233.195472600026</v>
      </c>
    </row>
    <row r="58" spans="1:14" x14ac:dyDescent="0.25">
      <c r="A58" t="s">
        <v>553</v>
      </c>
      <c r="B58" t="s">
        <v>161</v>
      </c>
      <c r="C58" s="29">
        <v>2</v>
      </c>
      <c r="D58" s="29">
        <v>13</v>
      </c>
      <c r="E58" s="29">
        <v>16</v>
      </c>
      <c r="F58" s="29">
        <v>13</v>
      </c>
      <c r="G58" s="29">
        <v>50</v>
      </c>
      <c r="I58" s="33" t="str">
        <f t="shared" si="0"/>
        <v xml:space="preserve">Yterbí </v>
      </c>
      <c r="J58" s="29">
        <v>12</v>
      </c>
      <c r="K58" s="32">
        <f>50000+IF(L58="",20000,35000*(VLOOKUP(L58,Jockey!$A$2:$J$113,10,FALSE)/100)^0.7)*(D58/LARGE($D$2:$D$126,1))^0.8*(E58/LARGE($E$2:$E$126,1))^0.1*(F58/LARGE($F$2:$F$126,1))^0.6*(G58/LARGE($G$2:$G$126,1))^0.35*(1+(LARGE($J$2:$J$126,1)-J58)/LARGE($J$2:$J$126,1))^0.105</f>
        <v>69483.080865821219</v>
      </c>
      <c r="L58" s="33" t="str">
        <f>IFERROR(VLOOKUP(A58,Selecionados!$D$2:$E$101,2,FALSE),"")</f>
        <v>RW Eberhard von Bunsen</v>
      </c>
      <c r="M58" s="32">
        <f>K58*(Selecionados!$Q$4/100)</f>
        <v>2306.8382847452576</v>
      </c>
      <c r="N58" s="32">
        <f>K58*Selecionados!$I$4+(Selecionados!$N$5/100)*K58*Selecionados!$N$4+(Selecionados!$J$5/100)*K58*Selecionados!$J$4</f>
        <v>74461.401629961212</v>
      </c>
    </row>
    <row r="59" spans="1:14" x14ac:dyDescent="0.25">
      <c r="A59" t="s">
        <v>519</v>
      </c>
      <c r="B59" t="s">
        <v>161</v>
      </c>
      <c r="C59" s="29">
        <v>1</v>
      </c>
      <c r="D59" s="29">
        <v>18</v>
      </c>
      <c r="E59" s="29">
        <v>14</v>
      </c>
      <c r="F59" s="29">
        <v>14</v>
      </c>
      <c r="G59" s="29">
        <v>53</v>
      </c>
      <c r="I59" s="33" t="str">
        <f t="shared" si="0"/>
        <v xml:space="preserve">Lutecio </v>
      </c>
      <c r="J59" s="29">
        <v>9</v>
      </c>
      <c r="K59" s="32">
        <f>50000+IF(L59="",20000,35000*(VLOOKUP(L59,Jockey!$A$2:$J$113,10,FALSE)/100)^0.7)*(D59/LARGE($D$2:$D$126,1))^0.8*(E59/LARGE($E$2:$E$126,1))^0.1*(F59/LARGE($F$2:$F$126,1))^0.6*(G59/LARGE($G$2:$G$126,1))^0.35*(1+(LARGE($J$2:$J$126,1)-J59)/LARGE($J$2:$J$126,1))^0.105</f>
        <v>77097.308354399967</v>
      </c>
      <c r="L59" s="33" t="str">
        <f>IFERROR(VLOOKUP(A59,Selecionados!$D$2:$E$101,2,FALSE),"")</f>
        <v>José Moura Gonçalves</v>
      </c>
      <c r="M59" s="32">
        <f>K59*(Selecionados!$Q$4/100)</f>
        <v>2559.6306373660714</v>
      </c>
      <c r="N59" s="32">
        <f>K59*Selecionados!$I$4+(Selecionados!$N$5/100)*K59*Selecionados!$N$4+(Selecionados!$J$5/100)*K59*Selecionados!$J$4</f>
        <v>82621.172959384872</v>
      </c>
    </row>
    <row r="60" spans="1:14" x14ac:dyDescent="0.25">
      <c r="A60" t="s">
        <v>593</v>
      </c>
      <c r="B60" t="s">
        <v>160</v>
      </c>
      <c r="C60" s="29">
        <v>1</v>
      </c>
      <c r="D60" s="29">
        <v>16</v>
      </c>
      <c r="E60" s="29">
        <v>13</v>
      </c>
      <c r="F60" s="29">
        <v>18</v>
      </c>
      <c r="G60" s="29">
        <v>65</v>
      </c>
      <c r="I60" s="33" t="str">
        <f t="shared" si="0"/>
        <v xml:space="preserve">Jiā 鉿 </v>
      </c>
      <c r="J60" s="29">
        <v>10</v>
      </c>
      <c r="K60" s="32">
        <f>50000+IF(L60="",20000,35000*(VLOOKUP(L60,Jockey!$A$2:$J$113,10,FALSE)/100)^0.7)*(D60/LARGE($D$2:$D$126,1))^0.8*(E60/LARGE($E$2:$E$126,1))^0.1*(F60/LARGE($F$2:$F$126,1))^0.6*(G60/LARGE($G$2:$G$126,1))^0.35*(1+(LARGE($J$2:$J$126,1)-J60)/LARGE($J$2:$J$126,1))^0.105</f>
        <v>80396.946155404745</v>
      </c>
      <c r="L60" s="33" t="str">
        <f>IFERROR(VLOOKUP(A60,Selecionados!$D$2:$E$101,2,FALSE),"")</f>
        <v>Linus C. Pauling</v>
      </c>
      <c r="M60" s="32">
        <f>K60*(Selecionados!$Q$4/100)</f>
        <v>2669.1786123594297</v>
      </c>
      <c r="N60" s="32">
        <f>K60*Selecionados!$I$4+(Selecionados!$N$5/100)*K60*Selecionados!$N$4+(Selecionados!$J$5/100)*K60*Selecionados!$J$4</f>
        <v>86157.223066438717</v>
      </c>
    </row>
    <row r="61" spans="1:14" x14ac:dyDescent="0.25">
      <c r="A61" t="s">
        <v>554</v>
      </c>
      <c r="B61" t="s">
        <v>33</v>
      </c>
      <c r="C61" s="29">
        <v>1</v>
      </c>
      <c r="D61" s="29">
        <v>16</v>
      </c>
      <c r="E61" s="29">
        <v>11</v>
      </c>
      <c r="F61" s="29">
        <v>11</v>
      </c>
      <c r="G61" s="29">
        <v>45</v>
      </c>
      <c r="I61" s="33" t="str">
        <f t="shared" si="0"/>
        <v xml:space="preserve">Tantalus </v>
      </c>
      <c r="J61" s="29">
        <v>13</v>
      </c>
      <c r="K61" s="32">
        <f>50000+IF(L61="",20000,35000*(VLOOKUP(L61,Jockey!$A$2:$J$113,10,FALSE)/100)^0.7)*(D61/LARGE($D$2:$D$126,1))^0.8*(E61/LARGE($E$2:$E$126,1))^0.1*(F61/LARGE($F$2:$F$126,1))^0.6*(G61/LARGE($G$2:$G$126,1))^0.35*(1+(LARGE($J$2:$J$126,1)-J61)/LARGE($J$2:$J$126,1))^0.105</f>
        <v>69188.351686256428</v>
      </c>
      <c r="L61" s="33" t="str">
        <f>IFERROR(VLOOKUP(A61,Selecionados!$D$2:$E$101,2,FALSE),"")</f>
        <v>Wolfgang Pauli</v>
      </c>
      <c r="M61" s="32">
        <f>K61*(Selecionados!$Q$4/100)</f>
        <v>2297.0532759837065</v>
      </c>
      <c r="N61" s="32">
        <f>K61*Selecionados!$I$4+(Selecionados!$N$5/100)*K61*Selecionados!$N$4+(Selecionados!$J$5/100)*K61*Selecionados!$J$4</f>
        <v>74145.555706922445</v>
      </c>
    </row>
    <row r="62" spans="1:14" x14ac:dyDescent="0.25">
      <c r="A62" t="s">
        <v>579</v>
      </c>
      <c r="B62" t="s">
        <v>164</v>
      </c>
      <c r="C62" s="29">
        <v>1</v>
      </c>
      <c r="D62" s="29">
        <v>10</v>
      </c>
      <c r="E62" s="29">
        <v>15</v>
      </c>
      <c r="F62" s="29">
        <v>17</v>
      </c>
      <c r="G62" s="29">
        <v>66</v>
      </c>
      <c r="I62" s="33" t="str">
        <f t="shared" si="0"/>
        <v xml:space="preserve">ቱንግስተን </v>
      </c>
      <c r="J62" s="29">
        <v>13</v>
      </c>
      <c r="K62" s="32">
        <f>50000+IF(L62="",20000,35000*(VLOOKUP(L62,Jockey!$A$2:$J$113,10,FALSE)/100)^0.7)*(D62/LARGE($D$2:$D$126,1))^0.8*(E62/LARGE($E$2:$E$126,1))^0.1*(F62/LARGE($F$2:$F$126,1))^0.6*(G62/LARGE($G$2:$G$126,1))^0.35*(1+(LARGE($J$2:$J$126,1)-J62)/LARGE($J$2:$J$126,1))^0.105</f>
        <v>61529.838698519896</v>
      </c>
      <c r="L62" s="33" t="str">
        <f>IFERROR(VLOOKUP(A62,Selecionados!$D$2:$E$101,2,FALSE),"")</f>
        <v/>
      </c>
      <c r="M62" s="32">
        <f>K62*(Selecionados!$Q$4/100)</f>
        <v>2042.7906447908547</v>
      </c>
      <c r="N62" s="32">
        <f>K62*Selecionados!$I$4+(Selecionados!$N$5/100)*K62*Selecionados!$N$4+(Selecionados!$J$5/100)*K62*Selecionados!$J$4</f>
        <v>65938.325912818167</v>
      </c>
    </row>
    <row r="63" spans="1:14" x14ac:dyDescent="0.25">
      <c r="A63" t="s">
        <v>555</v>
      </c>
      <c r="B63" t="s">
        <v>18</v>
      </c>
      <c r="C63" s="29">
        <v>3</v>
      </c>
      <c r="D63" s="29">
        <v>9</v>
      </c>
      <c r="E63" s="29">
        <v>14</v>
      </c>
      <c r="F63" s="29">
        <v>12</v>
      </c>
      <c r="G63" s="29">
        <v>48</v>
      </c>
      <c r="I63" s="33" t="str">
        <f t="shared" si="0"/>
        <v xml:space="preserve">Rênio de Deus </v>
      </c>
      <c r="J63" s="29">
        <v>14</v>
      </c>
      <c r="K63" s="32">
        <f>50000+IF(L63="",20000,35000*(VLOOKUP(L63,Jockey!$A$2:$J$113,10,FALSE)/100)^0.7)*(D63/LARGE($D$2:$D$126,1))^0.8*(E63/LARGE($E$2:$E$126,1))^0.1*(F63/LARGE($F$2:$F$126,1))^0.6*(G63/LARGE($G$2:$G$126,1))^0.35*(1+(LARGE($J$2:$J$126,1)-J63)/LARGE($J$2:$J$126,1))^0.105</f>
        <v>63272.302683039721</v>
      </c>
      <c r="L63" s="33" t="str">
        <f>IFERROR(VLOOKUP(A63,Selecionados!$D$2:$E$101,2,FALSE),"")</f>
        <v>Aleksandr Ivanovich Oparin</v>
      </c>
      <c r="M63" s="32">
        <f>K63*(Selecionados!$Q$4/100)</f>
        <v>2100.6404490769128</v>
      </c>
      <c r="N63" s="32">
        <f>K63*Selecionados!$I$4+(Selecionados!$N$5/100)*K63*Selecionados!$N$4+(Selecionados!$J$5/100)*K63*Selecionados!$J$4</f>
        <v>67805.633881323869</v>
      </c>
    </row>
    <row r="64" spans="1:14" x14ac:dyDescent="0.25">
      <c r="A64" t="s">
        <v>569</v>
      </c>
      <c r="B64" t="s">
        <v>163</v>
      </c>
      <c r="C64" s="29">
        <v>2</v>
      </c>
      <c r="D64" s="29">
        <v>12</v>
      </c>
      <c r="E64" s="29">
        <v>11</v>
      </c>
      <c r="F64" s="29">
        <v>14</v>
      </c>
      <c r="G64" s="29">
        <v>41</v>
      </c>
      <c r="I64" s="33" t="str">
        <f t="shared" si="0"/>
        <v xml:space="preserve">Osmi </v>
      </c>
      <c r="J64" s="29">
        <v>7</v>
      </c>
      <c r="K64" s="32">
        <f>50000+IF(L64="",20000,35000*(VLOOKUP(L64,Jockey!$A$2:$J$113,10,FALSE)/100)^0.7)*(D64/LARGE($D$2:$D$126,1))^0.8*(E64/LARGE($E$2:$E$126,1))^0.1*(F64/LARGE($F$2:$F$126,1))^0.6*(G64/LARGE($G$2:$G$126,1))^0.35*(1+(LARGE($J$2:$J$126,1)-J64)/LARGE($J$2:$J$126,1))^0.105</f>
        <v>67665.311684175336</v>
      </c>
      <c r="L64" s="33" t="str">
        <f>IFERROR(VLOOKUP(A64,Selecionados!$D$2:$E$101,2,FALSE),"")</f>
        <v>Šrīnivāsa Rāmānudžans</v>
      </c>
      <c r="M64" s="32">
        <f>K64*(Selecionados!$Q$4/100)</f>
        <v>2246.4883479146147</v>
      </c>
      <c r="N64" s="32">
        <f>K64*Selecionados!$I$4+(Selecionados!$N$5/100)*K64*Selecionados!$N$4+(Selecionados!$J$5/100)*K64*Selecionados!$J$4</f>
        <v>72513.393000832046</v>
      </c>
    </row>
    <row r="65" spans="1:14" x14ac:dyDescent="0.25">
      <c r="A65" t="s">
        <v>594</v>
      </c>
      <c r="B65" t="s">
        <v>160</v>
      </c>
      <c r="C65" s="29">
        <v>1</v>
      </c>
      <c r="D65" s="29">
        <v>14</v>
      </c>
      <c r="E65" s="29">
        <v>15</v>
      </c>
      <c r="F65" s="29">
        <v>15</v>
      </c>
      <c r="G65" s="29">
        <v>58</v>
      </c>
      <c r="I65" s="33" t="str">
        <f t="shared" si="0"/>
        <v xml:space="preserve">Yī 銥 </v>
      </c>
      <c r="J65" s="29">
        <v>9</v>
      </c>
      <c r="K65" s="32">
        <f>50000+IF(L65="",20000,35000*(VLOOKUP(L65,Jockey!$A$2:$J$113,10,FALSE)/100)^0.7)*(D65/LARGE($D$2:$D$126,1))^0.8*(E65/LARGE($E$2:$E$126,1))^0.1*(F65/LARGE($F$2:$F$126,1))^0.6*(G65/LARGE($G$2:$G$126,1))^0.35*(1+(LARGE($J$2:$J$126,1)-J65)/LARGE($J$2:$J$126,1))^0.105</f>
        <v>74004.246485711526</v>
      </c>
      <c r="L65" s="33" t="str">
        <f>IFERROR(VLOOKUP(A65,Selecionados!$D$2:$E$101,2,FALSE),"")</f>
        <v>Galileu Galilei</v>
      </c>
      <c r="M65" s="32">
        <f>K65*(Selecionados!$Q$4/100)</f>
        <v>2456.9409833256154</v>
      </c>
      <c r="N65" s="32">
        <f>K65*Selecionados!$I$4+(Selecionados!$N$5/100)*K65*Selecionados!$N$4+(Selecionados!$J$5/100)*K65*Selecionados!$J$4</f>
        <v>79306.499528086002</v>
      </c>
    </row>
    <row r="66" spans="1:14" x14ac:dyDescent="0.25">
      <c r="A66" t="s">
        <v>138</v>
      </c>
      <c r="B66" t="s">
        <v>33</v>
      </c>
      <c r="C66" s="29">
        <v>2</v>
      </c>
      <c r="D66" s="29">
        <v>11</v>
      </c>
      <c r="E66" s="29">
        <v>13</v>
      </c>
      <c r="F66" s="29">
        <v>13</v>
      </c>
      <c r="G66" s="29">
        <v>45</v>
      </c>
      <c r="I66" s="33" t="str">
        <f t="shared" si="0"/>
        <v xml:space="preserve">Plátinum </v>
      </c>
      <c r="J66" s="29">
        <v>11</v>
      </c>
      <c r="K66" s="32">
        <f>50000+IF(L66="",20000,35000*(VLOOKUP(L66,Jockey!$A$2:$J$113,10,FALSE)/100)^0.7)*(D66/LARGE($D$2:$D$126,1))^0.8*(E66/LARGE($E$2:$E$126,1))^0.1*(F66/LARGE($F$2:$F$126,1))^0.6*(G66/LARGE($G$2:$G$126,1))^0.35*(1+(LARGE($J$2:$J$126,1)-J66)/LARGE($J$2:$J$126,1))^0.105</f>
        <v>66193.803055874596</v>
      </c>
      <c r="L66" s="33" t="str">
        <f>IFERROR(VLOOKUP(A66,Selecionados!$D$2:$E$101,2,FALSE),"")</f>
        <v>Nicolas-Léonard S. Carnot</v>
      </c>
      <c r="M66" s="32">
        <f>K66*(Selecionados!$Q$4/100)</f>
        <v>2197.6342614550304</v>
      </c>
      <c r="N66" s="32">
        <f>K66*Selecionados!$I$4+(Selecionados!$N$5/100)*K66*Selecionados!$N$4+(Selecionados!$J$5/100)*K66*Selecionados!$J$4</f>
        <v>70936.4537861555</v>
      </c>
    </row>
    <row r="67" spans="1:14" x14ac:dyDescent="0.25">
      <c r="A67" t="s">
        <v>139</v>
      </c>
      <c r="B67" t="s">
        <v>33</v>
      </c>
      <c r="C67" s="29">
        <v>1</v>
      </c>
      <c r="D67" s="29">
        <v>14</v>
      </c>
      <c r="E67" s="29">
        <v>14</v>
      </c>
      <c r="F67" s="29">
        <v>15</v>
      </c>
      <c r="G67" s="29">
        <v>47</v>
      </c>
      <c r="I67" s="33" t="str">
        <f t="shared" ref="I67:I126" si="1">CONCATENATE(A67," ",IF(H67=0,"",ROMAN(H67+1)))</f>
        <v xml:space="preserve">Aurum </v>
      </c>
      <c r="J67" s="29">
        <v>11</v>
      </c>
      <c r="K67" s="32">
        <f>50000+IF(L67="",20000,35000*(VLOOKUP(L67,Jockey!$A$2:$J$113,10,FALSE)/100)^0.7)*(D67/LARGE($D$2:$D$126,1))^0.8*(E67/LARGE($E$2:$E$126,1))^0.1*(F67/LARGE($F$2:$F$126,1))^0.6*(G67/LARGE($G$2:$G$126,1))^0.35*(1+(LARGE($J$2:$J$126,1)-J67)/LARGE($J$2:$J$126,1))^0.105</f>
        <v>71890.426161696494</v>
      </c>
      <c r="L67" s="33" t="str">
        <f>IFERROR(VLOOKUP(A67,Selecionados!$D$2:$E$101,2,FALSE),"")</f>
        <v>Johannes Nicolaus Brønsted</v>
      </c>
      <c r="M67" s="32">
        <f>K67*(Selecionados!$Q$4/100)</f>
        <v>2386.7621485683167</v>
      </c>
      <c r="N67" s="32">
        <f>K67*Selecionados!$I$4+(Selecionados!$N$5/100)*K67*Selecionados!$N$4+(Selecionados!$J$5/100)*K67*Selecionados!$J$4</f>
        <v>77041.22829718003</v>
      </c>
    </row>
    <row r="68" spans="1:14" x14ac:dyDescent="0.25">
      <c r="A68" t="s">
        <v>520</v>
      </c>
      <c r="B68" t="s">
        <v>161</v>
      </c>
      <c r="C68" s="29">
        <v>1</v>
      </c>
      <c r="D68" s="29">
        <v>16</v>
      </c>
      <c r="E68" s="29">
        <v>15</v>
      </c>
      <c r="F68" s="29">
        <v>17</v>
      </c>
      <c r="G68" s="29">
        <v>57</v>
      </c>
      <c r="I68" s="33" t="str">
        <f t="shared" si="1"/>
        <v xml:space="preserve">Hidrargiro </v>
      </c>
      <c r="J68" s="29">
        <v>12</v>
      </c>
      <c r="K68" s="32">
        <f>50000+IF(L68="",20000,35000*(VLOOKUP(L68,Jockey!$A$2:$J$113,10,FALSE)/100)^0.7)*(D68/LARGE($D$2:$D$126,1))^0.8*(E68/LARGE($E$2:$E$126,1))^0.1*(F68/LARGE($F$2:$F$126,1))^0.6*(G68/LARGE($G$2:$G$126,1))^0.35*(1+(LARGE($J$2:$J$126,1)-J68)/LARGE($J$2:$J$126,1))^0.105</f>
        <v>78107.104246512972</v>
      </c>
      <c r="L68" s="33" t="str">
        <f>IFERROR(VLOOKUP(A68,Selecionados!$D$2:$E$101,2,FALSE),"")</f>
        <v>Demócrito de Abdera</v>
      </c>
      <c r="M68" s="32">
        <f>K68*(Selecionados!$Q$4/100)</f>
        <v>2593.1558609842232</v>
      </c>
      <c r="N68" s="32">
        <f>K68*Selecionados!$I$4+(Selecionados!$N$5/100)*K68*Selecionados!$N$4+(Selecionados!$J$5/100)*K68*Selecionados!$J$4</f>
        <v>83703.318663777463</v>
      </c>
    </row>
    <row r="69" spans="1:14" x14ac:dyDescent="0.25">
      <c r="A69" t="s">
        <v>580</v>
      </c>
      <c r="B69" t="s">
        <v>164</v>
      </c>
      <c r="C69" s="29">
        <v>2</v>
      </c>
      <c r="D69" s="29">
        <v>11</v>
      </c>
      <c r="E69" s="29">
        <v>12</v>
      </c>
      <c r="F69" s="29">
        <v>12</v>
      </c>
      <c r="G69" s="29">
        <v>37</v>
      </c>
      <c r="I69" s="33" t="str">
        <f t="shared" si="1"/>
        <v xml:space="preserve">ታሊየም </v>
      </c>
      <c r="J69" s="29">
        <v>11</v>
      </c>
      <c r="K69" s="32">
        <f>50000+IF(L69="",20000,35000*(VLOOKUP(L69,Jockey!$A$2:$J$113,10,FALSE)/100)^0.7)*(D69/LARGE($D$2:$D$126,1))^0.8*(E69/LARGE($E$2:$E$126,1))^0.1*(F69/LARGE($F$2:$F$126,1))^0.6*(G69/LARGE($G$2:$G$126,1))^0.35*(1+(LARGE($J$2:$J$126,1)-J69)/LARGE($J$2:$J$126,1))^0.105</f>
        <v>64297.549290258285</v>
      </c>
      <c r="L69" s="33" t="str">
        <f>IFERROR(VLOOKUP(A69,Selecionados!$D$2:$E$101,2,FALSE),"")</f>
        <v>Pitágoras de Samos</v>
      </c>
      <c r="M69" s="32">
        <f>K69*(Selecionados!$Q$4/100)</f>
        <v>2134.6786364365689</v>
      </c>
      <c r="N69" s="32">
        <f>K69*Selecionados!$I$4+(Selecionados!$N$5/100)*K69*Selecionados!$N$4+(Selecionados!$J$5/100)*K69*Selecionados!$J$4</f>
        <v>68904.337312987758</v>
      </c>
    </row>
    <row r="70" spans="1:14" x14ac:dyDescent="0.25">
      <c r="A70" t="s">
        <v>140</v>
      </c>
      <c r="B70" t="s">
        <v>33</v>
      </c>
      <c r="C70" s="29">
        <v>1</v>
      </c>
      <c r="D70" s="29">
        <v>17</v>
      </c>
      <c r="E70" s="29">
        <v>18</v>
      </c>
      <c r="F70" s="29">
        <v>11</v>
      </c>
      <c r="G70" s="29">
        <v>33</v>
      </c>
      <c r="I70" s="33" t="str">
        <f t="shared" si="1"/>
        <v xml:space="preserve">Plumbium </v>
      </c>
      <c r="J70" s="29">
        <v>12</v>
      </c>
      <c r="K70" s="32">
        <f>50000+IF(L70="",20000,35000*(VLOOKUP(L70,Jockey!$A$2:$J$113,10,FALSE)/100)^0.7)*(D70/LARGE($D$2:$D$126,1))^0.8*(E70/LARGE($E$2:$E$126,1))^0.1*(F70/LARGE($F$2:$F$126,1))^0.6*(G70/LARGE($G$2:$G$126,1))^0.35*(1+(LARGE($J$2:$J$126,1)-J70)/LARGE($J$2:$J$126,1))^0.105</f>
        <v>69111.171850493571</v>
      </c>
      <c r="L70" s="33" t="str">
        <f>IFERROR(VLOOKUP(A70,Selecionados!$D$2:$E$101,2,FALSE),"")</f>
        <v>L.R.A.C Avogadro</v>
      </c>
      <c r="M70" s="32">
        <f>K70*(Selecionados!$Q$4/100)</f>
        <v>2294.4909054363798</v>
      </c>
      <c r="N70" s="32">
        <f>K70*Selecionados!$I$4+(Selecionados!$N$5/100)*K70*Selecionados!$N$4+(Selecionados!$J$5/100)*K70*Selecionados!$J$4</f>
        <v>74062.84609363442</v>
      </c>
    </row>
    <row r="71" spans="1:14" x14ac:dyDescent="0.25">
      <c r="A71" t="s">
        <v>556</v>
      </c>
      <c r="B71" t="s">
        <v>18</v>
      </c>
      <c r="C71" s="29">
        <v>1</v>
      </c>
      <c r="D71" s="29">
        <v>15</v>
      </c>
      <c r="E71" s="29">
        <v>13</v>
      </c>
      <c r="F71" s="29">
        <v>18</v>
      </c>
      <c r="G71" s="29">
        <v>59</v>
      </c>
      <c r="I71" s="33" t="str">
        <f t="shared" si="1"/>
        <v xml:space="preserve">Bismuto de Jaú </v>
      </c>
      <c r="J71" s="29">
        <v>12</v>
      </c>
      <c r="K71" s="32">
        <f>50000+IF(L71="",20000,35000*(VLOOKUP(L71,Jockey!$A$2:$J$113,10,FALSE)/100)^0.7)*(D71/LARGE($D$2:$D$126,1))^0.8*(E71/LARGE($E$2:$E$126,1))^0.1*(F71/LARGE($F$2:$F$126,1))^0.6*(G71/LARGE($G$2:$G$126,1))^0.35*(1+(LARGE($J$2:$J$126,1)-J71)/LARGE($J$2:$J$126,1))^0.105</f>
        <v>65749.850690618929</v>
      </c>
      <c r="L71" s="33" t="str">
        <f>IFERROR(VLOOKUP(A71,Selecionados!$D$2:$E$101,2,FALSE),"")</f>
        <v/>
      </c>
      <c r="M71" s="32">
        <f>K71*(Selecionados!$Q$4/100)</f>
        <v>2182.8950429285419</v>
      </c>
      <c r="N71" s="32">
        <f>K71*Selecionados!$I$4+(Selecionados!$N$5/100)*K71*Selecionados!$N$4+(Selecionados!$J$5/100)*K71*Selecionados!$J$4</f>
        <v>70460.69314108984</v>
      </c>
    </row>
    <row r="72" spans="1:14" x14ac:dyDescent="0.25">
      <c r="A72" t="s">
        <v>595</v>
      </c>
      <c r="B72" t="s">
        <v>160</v>
      </c>
      <c r="C72" s="29">
        <v>1</v>
      </c>
      <c r="D72" s="29">
        <v>14</v>
      </c>
      <c r="E72" s="29">
        <v>15</v>
      </c>
      <c r="F72" s="29">
        <v>12</v>
      </c>
      <c r="G72" s="29">
        <v>43</v>
      </c>
      <c r="I72" s="33" t="str">
        <f t="shared" si="1"/>
        <v xml:space="preserve">Pò 釙 </v>
      </c>
      <c r="J72" s="29">
        <v>11</v>
      </c>
      <c r="K72" s="32">
        <f>50000+IF(L72="",20000,35000*(VLOOKUP(L72,Jockey!$A$2:$J$113,10,FALSE)/100)^0.7)*(D72/LARGE($D$2:$D$126,1))^0.8*(E72/LARGE($E$2:$E$126,1))^0.1*(F72/LARGE($F$2:$F$126,1))^0.6*(G72/LARGE($G$2:$G$126,1))^0.35*(1+(LARGE($J$2:$J$126,1)-J72)/LARGE($J$2:$J$126,1))^0.105</f>
        <v>68688.921514575617</v>
      </c>
      <c r="L72" s="33" t="str">
        <f>IFERROR(VLOOKUP(A72,Selecionados!$D$2:$E$101,2,FALSE),"")</f>
        <v>James Chadwick</v>
      </c>
      <c r="M72" s="32">
        <f>K72*(Selecionados!$Q$4/100)</f>
        <v>2280.4721942839037</v>
      </c>
      <c r="N72" s="32">
        <f>K72*Selecionados!$I$4+(Selecionados!$N$5/100)*K72*Selecionados!$N$4+(Selecionados!$J$5/100)*K72*Selecionados!$J$4</f>
        <v>73610.342383963158</v>
      </c>
    </row>
    <row r="73" spans="1:14" x14ac:dyDescent="0.25">
      <c r="A73" t="s">
        <v>141</v>
      </c>
      <c r="B73" t="s">
        <v>164</v>
      </c>
      <c r="C73" s="29">
        <v>1</v>
      </c>
      <c r="D73" s="29">
        <v>12</v>
      </c>
      <c r="E73" s="29">
        <v>13</v>
      </c>
      <c r="F73" s="29">
        <v>14</v>
      </c>
      <c r="G73" s="29">
        <v>37</v>
      </c>
      <c r="I73" s="33" t="str">
        <f t="shared" si="1"/>
        <v xml:space="preserve">Astato </v>
      </c>
      <c r="J73" s="29">
        <v>9</v>
      </c>
      <c r="K73" s="32">
        <f>50000+IF(L73="",20000,35000*(VLOOKUP(L73,Jockey!$A$2:$J$113,10,FALSE)/100)^0.7)*(D73/LARGE($D$2:$D$126,1))^0.8*(E73/LARGE($E$2:$E$126,1))^0.1*(F73/LARGE($F$2:$F$126,1))^0.6*(G73/LARGE($G$2:$G$126,1))^0.35*(1+(LARGE($J$2:$J$126,1)-J73)/LARGE($J$2:$J$126,1))^0.105</f>
        <v>67147.812530198571</v>
      </c>
      <c r="L73" s="33" t="str">
        <f>IFERROR(VLOOKUP(A73,Selecionados!$D$2:$E$101,2,FALSE),"")</f>
        <v>André-Marie Ampère</v>
      </c>
      <c r="M73" s="32">
        <f>K73*(Selecionados!$Q$4/100)</f>
        <v>2229.3073760025859</v>
      </c>
      <c r="N73" s="32">
        <f>K73*Selecionados!$I$4+(Selecionados!$N$5/100)*K73*Selecionados!$N$4+(Selecionados!$J$5/100)*K73*Selecionados!$J$4</f>
        <v>71958.816089916974</v>
      </c>
    </row>
    <row r="74" spans="1:14" x14ac:dyDescent="0.25">
      <c r="A74" t="s">
        <v>557</v>
      </c>
      <c r="B74" t="s">
        <v>33</v>
      </c>
      <c r="C74" s="29">
        <v>2</v>
      </c>
      <c r="D74" s="29">
        <v>14</v>
      </c>
      <c r="E74" s="29">
        <v>16</v>
      </c>
      <c r="F74" s="29">
        <v>13</v>
      </c>
      <c r="G74" s="29">
        <v>52</v>
      </c>
      <c r="I74" s="33" t="str">
        <f t="shared" si="1"/>
        <v xml:space="preserve">Radhon </v>
      </c>
      <c r="J74" s="29">
        <v>10</v>
      </c>
      <c r="K74" s="32">
        <f>50000+IF(L74="",20000,35000*(VLOOKUP(L74,Jockey!$A$2:$J$113,10,FALSE)/100)^0.7)*(D74/LARGE($D$2:$D$126,1))^0.8*(E74/LARGE($E$2:$E$126,1))^0.1*(F74/LARGE($F$2:$F$126,1))^0.6*(G74/LARGE($G$2:$G$126,1))^0.35*(1+(LARGE($J$2:$J$126,1)-J74)/LARGE($J$2:$J$126,1))^0.105</f>
        <v>71219.642529267556</v>
      </c>
      <c r="L74" s="33" t="str">
        <f>IFERROR(VLOOKUP(A74,Selecionados!$D$2:$E$101,2,FALSE),"")</f>
        <v>AW Hermann Kolbe</v>
      </c>
      <c r="M74" s="32">
        <f>K74*(Selecionados!$Q$4/100)</f>
        <v>2364.4921319716759</v>
      </c>
      <c r="N74" s="32">
        <f>K74*Selecionados!$I$4+(Selecionados!$N$5/100)*K74*Selecionados!$N$4+(Selecionados!$J$5/100)*K74*Selecionados!$J$4</f>
        <v>76322.384388149148</v>
      </c>
    </row>
    <row r="75" spans="1:14" x14ac:dyDescent="0.25">
      <c r="A75" t="s">
        <v>581</v>
      </c>
      <c r="B75" t="s">
        <v>164</v>
      </c>
      <c r="C75" s="29">
        <v>2</v>
      </c>
      <c r="D75" s="29">
        <v>15</v>
      </c>
      <c r="E75" s="29">
        <v>17</v>
      </c>
      <c r="F75" s="29">
        <v>13</v>
      </c>
      <c r="G75" s="29">
        <v>44</v>
      </c>
      <c r="I75" s="33" t="str">
        <f t="shared" si="1"/>
        <v xml:space="preserve">ፍራንቸስኮ </v>
      </c>
      <c r="J75" s="29">
        <v>12</v>
      </c>
      <c r="K75" s="32">
        <f>50000+IF(L75="",20000,35000*(VLOOKUP(L75,Jockey!$A$2:$J$113,10,FALSE)/100)^0.7)*(D75/LARGE($D$2:$D$126,1))^0.8*(E75/LARGE($E$2:$E$126,1))^0.1*(F75/LARGE($F$2:$F$126,1))^0.6*(G75/LARGE($G$2:$G$126,1))^0.35*(1+(LARGE($J$2:$J$126,1)-J75)/LARGE($J$2:$J$126,1))^0.105</f>
        <v>62009.909614007207</v>
      </c>
      <c r="L75" s="33" t="str">
        <f>IFERROR(VLOOKUP(A75,Selecionados!$D$2:$E$101,2,FALSE),"")</f>
        <v/>
      </c>
      <c r="M75" s="32">
        <f>K75*(Selecionados!$Q$4/100)</f>
        <v>2058.7289991850334</v>
      </c>
      <c r="N75" s="32">
        <f>K75*Selecionados!$I$4+(Selecionados!$N$5/100)*K75*Selecionados!$N$4+(Selecionados!$J$5/100)*K75*Selecionados!$J$4</f>
        <v>66452.792928435898</v>
      </c>
    </row>
    <row r="76" spans="1:14" x14ac:dyDescent="0.25">
      <c r="A76" t="s">
        <v>521</v>
      </c>
      <c r="B76" t="s">
        <v>161</v>
      </c>
      <c r="C76" s="29">
        <v>3</v>
      </c>
      <c r="D76" s="29">
        <v>14</v>
      </c>
      <c r="E76" s="29">
        <v>16</v>
      </c>
      <c r="F76" s="29">
        <v>11</v>
      </c>
      <c r="G76" s="29">
        <v>37</v>
      </c>
      <c r="I76" s="33" t="str">
        <f t="shared" si="1"/>
        <v xml:space="preserve">Radío </v>
      </c>
      <c r="J76" s="29">
        <v>8</v>
      </c>
      <c r="K76" s="32">
        <f>50000+IF(L76="",20000,35000*(VLOOKUP(L76,Jockey!$A$2:$J$113,10,FALSE)/100)^0.7)*(D76/LARGE($D$2:$D$126,1))^0.8*(E76/LARGE($E$2:$E$126,1))^0.1*(F76/LARGE($F$2:$F$126,1))^0.6*(G76/LARGE($G$2:$G$126,1))^0.35*(1+(LARGE($J$2:$J$126,1)-J76)/LARGE($J$2:$J$126,1))^0.105</f>
        <v>67229.855403649359</v>
      </c>
      <c r="L76" s="33" t="str">
        <f>IFERROR(VLOOKUP(A76,Selecionados!$D$2:$E$101,2,FALSE),"")</f>
        <v>Henry Edward Armstrong</v>
      </c>
      <c r="M76" s="32">
        <f>K76*(Selecionados!$Q$4/100)</f>
        <v>2232.0311994011522</v>
      </c>
      <c r="N76" s="32">
        <f>K76*Selecionados!$I$4+(Selecionados!$N$5/100)*K76*Selecionados!$N$4+(Selecionados!$J$5/100)*K76*Selecionados!$J$4</f>
        <v>72046.737167606261</v>
      </c>
    </row>
    <row r="77" spans="1:14" x14ac:dyDescent="0.25">
      <c r="A77" t="s">
        <v>522</v>
      </c>
      <c r="B77" t="s">
        <v>162</v>
      </c>
      <c r="C77" s="29">
        <v>2</v>
      </c>
      <c r="D77" s="29">
        <v>13</v>
      </c>
      <c r="E77" s="29">
        <v>11</v>
      </c>
      <c r="F77" s="29">
        <v>16</v>
      </c>
      <c r="G77" s="29">
        <v>63</v>
      </c>
      <c r="I77" s="33" t="str">
        <f t="shared" si="1"/>
        <v xml:space="preserve">Actíno </v>
      </c>
      <c r="J77" s="29">
        <v>9</v>
      </c>
      <c r="K77" s="32">
        <f>50000+IF(L77="",20000,35000*(VLOOKUP(L77,Jockey!$A$2:$J$113,10,FALSE)/100)^0.7)*(D77/LARGE($D$2:$D$126,1))^0.8*(E77/LARGE($E$2:$E$126,1))^0.1*(F77/LARGE($F$2:$F$126,1))^0.6*(G77/LARGE($G$2:$G$126,1))^0.35*(1+(LARGE($J$2:$J$126,1)-J77)/LARGE($J$2:$J$126,1))^0.105</f>
        <v>73466.974546194746</v>
      </c>
      <c r="L77" s="33" t="str">
        <f>IFERROR(VLOOKUP(A77,Selecionados!$D$2:$E$101,2,FALSE),"")</f>
        <v>Heinrich Rheinboldt</v>
      </c>
      <c r="M77" s="32">
        <f>K77*(Selecionados!$Q$4/100)</f>
        <v>2439.1035549336584</v>
      </c>
      <c r="N77" s="32">
        <f>K77*Selecionados!$I$4+(Selecionados!$N$5/100)*K77*Selecionados!$N$4+(Selecionados!$J$5/100)*K77*Selecionados!$J$4</f>
        <v>78730.73315195016</v>
      </c>
    </row>
    <row r="78" spans="1:14" x14ac:dyDescent="0.25">
      <c r="A78" t="s">
        <v>558</v>
      </c>
      <c r="B78" t="s">
        <v>33</v>
      </c>
      <c r="C78" s="29">
        <v>1</v>
      </c>
      <c r="D78" s="29">
        <v>16</v>
      </c>
      <c r="E78" s="29">
        <v>17</v>
      </c>
      <c r="F78" s="29">
        <v>14</v>
      </c>
      <c r="G78" s="29">
        <v>52</v>
      </c>
      <c r="I78" s="33" t="str">
        <f t="shared" si="1"/>
        <v xml:space="preserve">Thorio </v>
      </c>
      <c r="J78" s="29">
        <v>10</v>
      </c>
      <c r="K78" s="32">
        <f>50000+IF(L78="",20000,35000*(VLOOKUP(L78,Jockey!$A$2:$J$113,10,FALSE)/100)^0.7)*(D78/LARGE($D$2:$D$126,1))^0.8*(E78/LARGE($E$2:$E$126,1))^0.1*(F78/LARGE($F$2:$F$126,1))^0.6*(G78/LARGE($G$2:$G$126,1))^0.35*(1+(LARGE($J$2:$J$126,1)-J78)/LARGE($J$2:$J$126,1))^0.105</f>
        <v>74835.638221097935</v>
      </c>
      <c r="L78" s="33" t="str">
        <f>IFERROR(VLOOKUP(A78,Selecionados!$D$2:$E$101,2,FALSE),"")</f>
        <v>James Watt</v>
      </c>
      <c r="M78" s="32">
        <f>K78*(Selecionados!$Q$4/100)</f>
        <v>2484.543188940444</v>
      </c>
      <c r="N78" s="32">
        <f>K78*Selecionados!$I$4+(Selecionados!$N$5/100)*K78*Selecionados!$N$4+(Selecionados!$J$5/100)*K78*Selecionados!$J$4</f>
        <v>80197.458782468893</v>
      </c>
    </row>
    <row r="79" spans="1:14" x14ac:dyDescent="0.25">
      <c r="A79" t="s">
        <v>574</v>
      </c>
      <c r="B79" t="s">
        <v>84</v>
      </c>
      <c r="C79" s="29">
        <v>1</v>
      </c>
      <c r="D79" s="29">
        <v>15</v>
      </c>
      <c r="E79" s="29">
        <v>11</v>
      </c>
      <c r="F79" s="29">
        <v>15</v>
      </c>
      <c r="G79" s="29">
        <v>44</v>
      </c>
      <c r="I79" s="33" t="str">
        <f t="shared" si="1"/>
        <v xml:space="preserve">протактиний </v>
      </c>
      <c r="J79" s="29">
        <v>14</v>
      </c>
      <c r="K79" s="32">
        <f>50000+IF(L79="",20000,35000*(VLOOKUP(L79,Jockey!$A$2:$J$113,10,FALSE)/100)^0.7)*(D79/LARGE($D$2:$D$126,1))^0.8*(E79/LARGE($E$2:$E$126,1))^0.1*(F79/LARGE($F$2:$F$126,1))^0.6*(G79/LARGE($G$2:$G$126,1))^0.35*(1+(LARGE($J$2:$J$126,1)-J79)/LARGE($J$2:$J$126,1))^0.105</f>
        <v>71620.799711056781</v>
      </c>
      <c r="L79" s="33" t="str">
        <f>IFERROR(VLOOKUP(A79,Selecionados!$D$2:$E$101,2,FALSE),"")</f>
        <v>Vladimir V. Markovnikov</v>
      </c>
      <c r="M79" s="32">
        <f>K79*(Selecionados!$Q$4/100)</f>
        <v>2377.8105504070782</v>
      </c>
      <c r="N79" s="32">
        <f>K79*Selecionados!$I$4+(Selecionados!$N$5/100)*K79*Selecionados!$N$4+(Selecionados!$J$5/100)*K79*Selecionados!$J$4</f>
        <v>76752.283662299553</v>
      </c>
    </row>
    <row r="80" spans="1:14" x14ac:dyDescent="0.25">
      <c r="A80" t="s">
        <v>142</v>
      </c>
      <c r="B80" t="s">
        <v>161</v>
      </c>
      <c r="C80" s="29">
        <v>1</v>
      </c>
      <c r="D80" s="29">
        <v>17</v>
      </c>
      <c r="E80" s="29">
        <v>16</v>
      </c>
      <c r="F80" s="29">
        <v>16</v>
      </c>
      <c r="G80" s="29">
        <v>61</v>
      </c>
      <c r="I80" s="33" t="str">
        <f t="shared" si="1"/>
        <v xml:space="preserve">Urano </v>
      </c>
      <c r="J80" s="29">
        <v>9</v>
      </c>
      <c r="K80" s="32">
        <f>50000+IF(L80="",20000,35000*(VLOOKUP(L80,Jockey!$A$2:$J$113,10,FALSE)/100)^0.7)*(D80/LARGE($D$2:$D$126,1))^0.8*(E80/LARGE($E$2:$E$126,1))^0.1*(F80/LARGE($F$2:$F$126,1))^0.6*(G80/LARGE($G$2:$G$126,1))^0.35*(1+(LARGE($J$2:$J$126,1)-J80)/LARGE($J$2:$J$126,1))^0.105</f>
        <v>79855.925421436754</v>
      </c>
      <c r="L80" s="33" t="str">
        <f>IFERROR(VLOOKUP(A80,Selecionados!$D$2:$E$101,2,FALSE),"")</f>
        <v>Arnold Sommerfeld</v>
      </c>
      <c r="M80" s="32">
        <f>K80*(Selecionados!$Q$4/100)</f>
        <v>2651.2167239916926</v>
      </c>
      <c r="N80" s="32">
        <f>K80*Selecionados!$I$4+(Selecionados!$N$5/100)*K80*Selecionados!$N$4+(Selecionados!$J$5/100)*K80*Selecionados!$J$4</f>
        <v>85577.439302389437</v>
      </c>
    </row>
    <row r="81" spans="1:14" x14ac:dyDescent="0.25">
      <c r="A81" t="s">
        <v>143</v>
      </c>
      <c r="B81" t="s">
        <v>162</v>
      </c>
      <c r="C81" s="29">
        <v>2</v>
      </c>
      <c r="D81" s="29">
        <v>14</v>
      </c>
      <c r="E81" s="29">
        <v>16</v>
      </c>
      <c r="F81" s="29">
        <v>10</v>
      </c>
      <c r="G81" s="29">
        <v>37</v>
      </c>
      <c r="I81" s="33" t="str">
        <f t="shared" si="1"/>
        <v xml:space="preserve">Netuno </v>
      </c>
      <c r="J81" s="29">
        <v>11</v>
      </c>
      <c r="K81" s="32">
        <f>50000+IF(L81="",20000,35000*(VLOOKUP(L81,Jockey!$A$2:$J$113,10,FALSE)/100)^0.7)*(D81/LARGE($D$2:$D$126,1))^0.8*(E81/LARGE($E$2:$E$126,1))^0.1*(F81/LARGE($F$2:$F$126,1))^0.6*(G81/LARGE($G$2:$G$126,1))^0.35*(1+(LARGE($J$2:$J$126,1)-J81)/LARGE($J$2:$J$126,1))^0.105</f>
        <v>65996.8697567661</v>
      </c>
      <c r="L81" s="33" t="str">
        <f>IFERROR(VLOOKUP(A81,Selecionados!$D$2:$E$101,2,FALSE),"")</f>
        <v>Thomas Martin Lowry</v>
      </c>
      <c r="M81" s="32">
        <f>K81*(Selecionados!$Q$4/100)</f>
        <v>2191.0960759246282</v>
      </c>
      <c r="N81" s="32">
        <f>K81*Selecionados!$I$4+(Selecionados!$N$5/100)*K81*Selecionados!$N$4+(Selecionados!$J$5/100)*K81*Selecionados!$J$4</f>
        <v>70725.410618574184</v>
      </c>
    </row>
    <row r="82" spans="1:14" x14ac:dyDescent="0.25">
      <c r="A82" t="s">
        <v>144</v>
      </c>
      <c r="B82" t="s">
        <v>18</v>
      </c>
      <c r="C82" s="29">
        <v>1</v>
      </c>
      <c r="D82" s="29">
        <v>14</v>
      </c>
      <c r="E82" s="29">
        <v>12</v>
      </c>
      <c r="F82" s="29">
        <v>15</v>
      </c>
      <c r="G82" s="29">
        <v>47</v>
      </c>
      <c r="I82" s="33" t="str">
        <f t="shared" si="1"/>
        <v xml:space="preserve">Plutão </v>
      </c>
      <c r="J82" s="29">
        <v>11</v>
      </c>
      <c r="K82" s="32">
        <f>50000+IF(L82="",20000,35000*(VLOOKUP(L82,Jockey!$A$2:$J$113,10,FALSE)/100)^0.7)*(D82/LARGE($D$2:$D$126,1))^0.8*(E82/LARGE($E$2:$E$126,1))^0.1*(F82/LARGE($F$2:$F$126,1))^0.6*(G82/LARGE($G$2:$G$126,1))^0.35*(1+(LARGE($J$2:$J$126,1)-J82)/LARGE($J$2:$J$126,1))^0.105</f>
        <v>71555.571290325228</v>
      </c>
      <c r="L82" s="33" t="str">
        <f>IFERROR(VLOOKUP(A82,Selecionados!$D$2:$E$101,2,FALSE),"")</f>
        <v>Gustav R. Kirchhoff</v>
      </c>
      <c r="M82" s="32">
        <f>K82*(Selecionados!$Q$4/100)</f>
        <v>2375.6449668387904</v>
      </c>
      <c r="N82" s="32">
        <f>K82*Selecionados!$I$4+(Selecionados!$N$5/100)*K82*Selecionados!$N$4+(Selecionados!$J$5/100)*K82*Selecionados!$J$4</f>
        <v>76682.381758508636</v>
      </c>
    </row>
    <row r="83" spans="1:14" x14ac:dyDescent="0.25">
      <c r="A83" t="s">
        <v>559</v>
      </c>
      <c r="B83" t="s">
        <v>18</v>
      </c>
      <c r="C83" s="29">
        <v>1</v>
      </c>
      <c r="D83" s="29">
        <v>15</v>
      </c>
      <c r="E83" s="29">
        <v>15</v>
      </c>
      <c r="F83" s="29">
        <v>16</v>
      </c>
      <c r="G83" s="29">
        <v>44</v>
      </c>
      <c r="I83" s="33" t="str">
        <f t="shared" si="1"/>
        <v xml:space="preserve">Amerício Vespúcio </v>
      </c>
      <c r="J83" s="29">
        <v>10</v>
      </c>
      <c r="K83" s="32">
        <f>50000+IF(L83="",20000,35000*(VLOOKUP(L83,Jockey!$A$2:$J$113,10,FALSE)/100)^0.7)*(D83/LARGE($D$2:$D$126,1))^0.8*(E83/LARGE($E$2:$E$126,1))^0.1*(F83/LARGE($F$2:$F$126,1))^0.6*(G83/LARGE($G$2:$G$126,1))^0.35*(1+(LARGE($J$2:$J$126,1)-J83)/LARGE($J$2:$J$126,1))^0.105</f>
        <v>73802.304921275922</v>
      </c>
      <c r="L83" s="33" t="str">
        <f>IFERROR(VLOOKUP(A83,Selecionados!$D$2:$E$101,2,FALSE),"")</f>
        <v>Henri Victor Regnault</v>
      </c>
      <c r="M83" s="32">
        <f>K83*(Selecionados!$Q$4/100)</f>
        <v>2450.2365233863534</v>
      </c>
      <c r="N83" s="32">
        <f>K83*Selecionados!$I$4+(Selecionados!$N$5/100)*K83*Selecionados!$N$4+(Selecionados!$J$5/100)*K83*Selecionados!$J$4</f>
        <v>79090.089263200658</v>
      </c>
    </row>
    <row r="84" spans="1:14" x14ac:dyDescent="0.25">
      <c r="A84" t="s">
        <v>145</v>
      </c>
      <c r="B84" t="s">
        <v>33</v>
      </c>
      <c r="C84" s="29">
        <v>1</v>
      </c>
      <c r="D84" s="29">
        <v>18</v>
      </c>
      <c r="E84" s="29">
        <v>17</v>
      </c>
      <c r="F84" s="29">
        <v>11</v>
      </c>
      <c r="G84" s="29">
        <v>50</v>
      </c>
      <c r="I84" s="33" t="str">
        <f t="shared" si="1"/>
        <v xml:space="preserve">Cúrio </v>
      </c>
      <c r="J84" s="29">
        <v>10</v>
      </c>
      <c r="K84" s="32">
        <f>50000+IF(L84="",20000,35000*(VLOOKUP(L84,Jockey!$A$2:$J$113,10,FALSE)/100)^0.7)*(D84/LARGE($D$2:$D$126,1))^0.8*(E84/LARGE($E$2:$E$126,1))^0.1*(F84/LARGE($F$2:$F$126,1))^0.6*(G84/LARGE($G$2:$G$126,1))^0.35*(1+(LARGE($J$2:$J$126,1)-J84)/LARGE($J$2:$J$126,1))^0.105</f>
        <v>73291.339390933164</v>
      </c>
      <c r="L84" s="33" t="str">
        <f>IFERROR(VLOOKUP(A84,Selecionados!$D$2:$E$101,2,FALSE),"")</f>
        <v>Day Underwood</v>
      </c>
      <c r="M84" s="32">
        <f>K84*(Selecionados!$Q$4/100)</f>
        <v>2433.2724677789738</v>
      </c>
      <c r="N84" s="32">
        <f>K84*Selecionados!$I$4+(Selecionados!$N$5/100)*K84*Selecionados!$N$4+(Selecionados!$J$5/100)*K84*Selecionados!$J$4</f>
        <v>78542.514096702333</v>
      </c>
    </row>
    <row r="85" spans="1:14" x14ac:dyDescent="0.25">
      <c r="A85" t="s">
        <v>523</v>
      </c>
      <c r="B85" t="s">
        <v>161</v>
      </c>
      <c r="C85" s="29">
        <v>1</v>
      </c>
      <c r="D85" s="29">
        <v>16</v>
      </c>
      <c r="E85" s="29">
        <v>12</v>
      </c>
      <c r="F85" s="29">
        <v>14</v>
      </c>
      <c r="G85" s="29">
        <v>48</v>
      </c>
      <c r="I85" s="33" t="str">
        <f t="shared" si="1"/>
        <v xml:space="preserve">Berkelio </v>
      </c>
      <c r="J85" s="29">
        <v>13</v>
      </c>
      <c r="K85" s="32">
        <f>50000+IF(L85="",20000,35000*(VLOOKUP(L85,Jockey!$A$2:$J$113,10,FALSE)/100)^0.7)*(D85/LARGE($D$2:$D$126,1))^0.8*(E85/LARGE($E$2:$E$126,1))^0.1*(F85/LARGE($F$2:$F$126,1))^0.6*(G85/LARGE($G$2:$G$126,1))^0.35*(1+(LARGE($J$2:$J$126,1)-J85)/LARGE($J$2:$J$126,1))^0.105</f>
        <v>72880.620047142045</v>
      </c>
      <c r="L85" s="33" t="str">
        <f>IFERROR(VLOOKUP(A85,Selecionados!$D$2:$E$101,2,FALSE),"")</f>
        <v>Thomas Edison</v>
      </c>
      <c r="M85" s="32">
        <f>K85*(Selecionados!$Q$4/100)</f>
        <v>2419.6365855651088</v>
      </c>
      <c r="N85" s="32">
        <f>K85*Selecionados!$I$4+(Selecionados!$N$5/100)*K85*Selecionados!$N$4+(Selecionados!$J$5/100)*K85*Selecionados!$J$4</f>
        <v>78102.367551181669</v>
      </c>
    </row>
    <row r="86" spans="1:14" x14ac:dyDescent="0.25">
      <c r="A86" t="s">
        <v>608</v>
      </c>
      <c r="B86" t="s">
        <v>18</v>
      </c>
      <c r="C86" s="29">
        <v>1</v>
      </c>
      <c r="D86" s="29">
        <v>12</v>
      </c>
      <c r="E86" s="29">
        <v>14</v>
      </c>
      <c r="F86" s="29">
        <v>17</v>
      </c>
      <c r="G86" s="29">
        <v>68</v>
      </c>
      <c r="I86" s="33" t="str">
        <f t="shared" si="1"/>
        <v xml:space="preserve">Californiano </v>
      </c>
      <c r="J86" s="29">
        <v>12</v>
      </c>
      <c r="K86" s="32">
        <f>50000+IF(L86="",20000,35000*(VLOOKUP(L86,Jockey!$A$2:$J$113,10,FALSE)/100)^0.7)*(D86/LARGE($D$2:$D$126,1))^0.8*(E86/LARGE($E$2:$E$126,1))^0.1*(F86/LARGE($F$2:$F$126,1))^0.6*(G86/LARGE($G$2:$G$126,1))^0.35*(1+(LARGE($J$2:$J$126,1)-J86)/LARGE($J$2:$J$126,1))^0.105</f>
        <v>73587.977930318928</v>
      </c>
      <c r="L86" s="33" t="str">
        <f>IFERROR(VLOOKUP(A86,Selecionados!$D$2:$E$101,2,FALSE),"")</f>
        <v>Diofanto de Alexandria</v>
      </c>
      <c r="M86" s="32">
        <f>K86*(Selecionados!$Q$4/100)</f>
        <v>2443.1208672865814</v>
      </c>
      <c r="N86" s="32">
        <f>K86*Selecionados!$I$4+(Selecionados!$N$5/100)*K86*Selecionados!$N$4+(Selecionados!$J$5/100)*K86*Selecionados!$J$4</f>
        <v>78860.406181291721</v>
      </c>
    </row>
    <row r="87" spans="1:14" x14ac:dyDescent="0.25">
      <c r="A87" t="s">
        <v>560</v>
      </c>
      <c r="B87" t="s">
        <v>33</v>
      </c>
      <c r="C87" s="29">
        <v>3</v>
      </c>
      <c r="D87" s="29">
        <v>17</v>
      </c>
      <c r="E87" s="29">
        <v>10</v>
      </c>
      <c r="F87" s="29">
        <v>14</v>
      </c>
      <c r="G87" s="29">
        <v>45</v>
      </c>
      <c r="I87" s="33" t="str">
        <f t="shared" si="1"/>
        <v xml:space="preserve">Einsteen </v>
      </c>
      <c r="J87" s="29">
        <v>8</v>
      </c>
      <c r="K87" s="32">
        <f>50000+IF(L87="",20000,35000*(VLOOKUP(L87,Jockey!$A$2:$J$113,10,FALSE)/100)^0.7)*(D87/LARGE($D$2:$D$126,1))^0.8*(E87/LARGE($E$2:$E$126,1))^0.1*(F87/LARGE($F$2:$F$126,1))^0.6*(G87/LARGE($G$2:$G$126,1))^0.35*(1+(LARGE($J$2:$J$126,1)-J87)/LARGE($J$2:$J$126,1))^0.105</f>
        <v>73764.097731942908</v>
      </c>
      <c r="L87" s="33" t="str">
        <f>IFERROR(VLOOKUP(A87,Selecionados!$D$2:$E$101,2,FALSE),"")</f>
        <v>William Sturgeon</v>
      </c>
      <c r="M87" s="32">
        <f>K87*(Selecionados!$Q$4/100)</f>
        <v>2448.9680447004976</v>
      </c>
      <c r="N87" s="32">
        <f>K87*Selecionados!$I$4+(Selecionados!$N$5/100)*K87*Selecionados!$N$4+(Selecionados!$J$5/100)*K87*Selecionados!$J$4</f>
        <v>79049.144606823495</v>
      </c>
    </row>
    <row r="88" spans="1:14" x14ac:dyDescent="0.25">
      <c r="A88" t="s">
        <v>146</v>
      </c>
      <c r="B88" t="s">
        <v>18</v>
      </c>
      <c r="C88" s="29">
        <v>1</v>
      </c>
      <c r="D88" s="29">
        <v>12</v>
      </c>
      <c r="E88" s="29">
        <v>12</v>
      </c>
      <c r="F88" s="29">
        <v>16</v>
      </c>
      <c r="G88" s="29">
        <v>68</v>
      </c>
      <c r="I88" s="33" t="str">
        <f t="shared" si="1"/>
        <v xml:space="preserve">Férmio </v>
      </c>
      <c r="J88" s="29">
        <v>8</v>
      </c>
      <c r="K88" s="32">
        <f>50000+IF(L88="",20000,35000*(VLOOKUP(L88,Jockey!$A$2:$J$113,10,FALSE)/100)^0.7)*(D88/LARGE($D$2:$D$126,1))^0.8*(E88/LARGE($E$2:$E$126,1))^0.1*(F88/LARGE($F$2:$F$126,1))^0.6*(G88/LARGE($G$2:$G$126,1))^0.35*(1+(LARGE($J$2:$J$126,1)-J88)/LARGE($J$2:$J$126,1))^0.105</f>
        <v>63101.957105123147</v>
      </c>
      <c r="L88" s="33" t="str">
        <f>IFERROR(VLOOKUP(A88,Selecionados!$D$2:$E$101,2,FALSE),"")</f>
        <v/>
      </c>
      <c r="M88" s="32">
        <f>K88*(Selecionados!$Q$4/100)</f>
        <v>2094.9849758900823</v>
      </c>
      <c r="N88" s="32">
        <f>K88*Selecionados!$I$4+(Selecionados!$N$5/100)*K88*Selecionados!$N$4+(Selecionados!$J$5/100)*K88*Selecionados!$J$4</f>
        <v>67623.083390829226</v>
      </c>
    </row>
    <row r="89" spans="1:14" x14ac:dyDescent="0.25">
      <c r="A89" t="s">
        <v>524</v>
      </c>
      <c r="B89" t="s">
        <v>161</v>
      </c>
      <c r="C89" s="29">
        <v>1</v>
      </c>
      <c r="D89" s="29">
        <v>12</v>
      </c>
      <c r="E89" s="29">
        <v>17</v>
      </c>
      <c r="F89" s="29">
        <v>18</v>
      </c>
      <c r="G89" s="29">
        <v>68</v>
      </c>
      <c r="I89" s="33" t="str">
        <f t="shared" si="1"/>
        <v xml:space="preserve">Mendelevi </v>
      </c>
      <c r="J89" s="29">
        <v>9</v>
      </c>
      <c r="K89" s="32">
        <f>50000+IF(L89="",20000,35000*(VLOOKUP(L89,Jockey!$A$2:$J$113,10,FALSE)/100)^0.7)*(D89/LARGE($D$2:$D$126,1))^0.8*(E89/LARGE($E$2:$E$126,1))^0.1*(F89/LARGE($F$2:$F$126,1))^0.6*(G89/LARGE($G$2:$G$126,1))^0.35*(1+(LARGE($J$2:$J$126,1)-J89)/LARGE($J$2:$J$126,1))^0.105</f>
        <v>75342.734950318001</v>
      </c>
      <c r="L89" s="33" t="str">
        <f>IFERROR(VLOOKUP(A89,Selecionados!$D$2:$E$101,2,FALSE),"")</f>
        <v>Arquimedes de Siracusa</v>
      </c>
      <c r="M89" s="32">
        <f>K89*(Selecionados!$Q$4/100)</f>
        <v>2501.3788003505501</v>
      </c>
      <c r="N89" s="32">
        <f>K89*Selecionados!$I$4+(Selecionados!$N$5/100)*K89*Selecionados!$N$4+(Selecionados!$J$5/100)*K89*Selecionados!$J$4</f>
        <v>80740.887956149483</v>
      </c>
    </row>
    <row r="90" spans="1:14" x14ac:dyDescent="0.25">
      <c r="A90" t="s">
        <v>561</v>
      </c>
      <c r="B90" t="s">
        <v>33</v>
      </c>
      <c r="C90" s="29">
        <v>1</v>
      </c>
      <c r="D90" s="29">
        <v>18</v>
      </c>
      <c r="E90" s="29">
        <v>15</v>
      </c>
      <c r="F90" s="29">
        <v>11</v>
      </c>
      <c r="G90" s="29">
        <v>42</v>
      </c>
      <c r="I90" s="33" t="str">
        <f t="shared" si="1"/>
        <v xml:space="preserve">Nobelium </v>
      </c>
      <c r="J90" s="29">
        <v>11</v>
      </c>
      <c r="K90" s="32">
        <f>50000+IF(L90="",20000,35000*(VLOOKUP(L90,Jockey!$A$2:$J$113,10,FALSE)/100)^0.7)*(D90/LARGE($D$2:$D$126,1))^0.8*(E90/LARGE($E$2:$E$126,1))^0.1*(F90/LARGE($F$2:$F$126,1))^0.6*(G90/LARGE($G$2:$G$126,1))^0.35*(1+(LARGE($J$2:$J$126,1)-J90)/LARGE($J$2:$J$126,1))^0.105</f>
        <v>71510.473547545189</v>
      </c>
      <c r="L90" s="33" t="str">
        <f>IFERROR(VLOOKUP(A90,Selecionados!$D$2:$E$101,2,FALSE),"")</f>
        <v>Charles Robert Darwin</v>
      </c>
      <c r="M90" s="32">
        <f>K90*(Selecionados!$Q$4/100)</f>
        <v>2374.1477217784932</v>
      </c>
      <c r="N90" s="32">
        <f>K90*Selecionados!$I$4+(Selecionados!$N$5/100)*K90*Selecionados!$N$4+(Selecionados!$J$5/100)*K90*Selecionados!$J$4</f>
        <v>76634.052854609938</v>
      </c>
    </row>
    <row r="91" spans="1:14" x14ac:dyDescent="0.25">
      <c r="A91" t="s">
        <v>562</v>
      </c>
      <c r="B91" t="s">
        <v>33</v>
      </c>
      <c r="C91" s="29">
        <v>3</v>
      </c>
      <c r="D91" s="29">
        <v>12</v>
      </c>
      <c r="E91" s="29">
        <v>13</v>
      </c>
      <c r="F91" s="29">
        <v>8</v>
      </c>
      <c r="G91" s="29">
        <v>33</v>
      </c>
      <c r="I91" s="33" t="str">
        <f t="shared" si="1"/>
        <v xml:space="preserve">Lauren </v>
      </c>
      <c r="J91" s="29">
        <v>10</v>
      </c>
      <c r="K91" s="32">
        <f>50000+IF(L91="",20000,35000*(VLOOKUP(L91,Jockey!$A$2:$J$113,10,FALSE)/100)^0.7)*(D91/LARGE($D$2:$D$126,1))^0.8*(E91/LARGE($E$2:$E$126,1))^0.1*(F91/LARGE($F$2:$F$126,1))^0.6*(G91/LARGE($G$2:$G$126,1))^0.35*(1+(LARGE($J$2:$J$126,1)-J91)/LARGE($J$2:$J$126,1))^0.105</f>
        <v>56691.008929642907</v>
      </c>
      <c r="L91" s="33" t="str">
        <f>IFERROR(VLOOKUP(A91,Selecionados!$D$2:$E$101,2,FALSE),"")</f>
        <v/>
      </c>
      <c r="M91" s="32">
        <f>K91*(Selecionados!$Q$4/100)</f>
        <v>1882.141496464139</v>
      </c>
      <c r="N91" s="32">
        <f>K91*Selecionados!$I$4+(Selecionados!$N$5/100)*K91*Selecionados!$N$4+(Selecionados!$J$5/100)*K91*Selecionados!$J$4</f>
        <v>60752.803878538361</v>
      </c>
    </row>
    <row r="92" spans="1:14" x14ac:dyDescent="0.25">
      <c r="A92" t="s">
        <v>573</v>
      </c>
      <c r="B92" t="s">
        <v>165</v>
      </c>
      <c r="C92" s="29">
        <v>1</v>
      </c>
      <c r="D92" s="29">
        <v>16</v>
      </c>
      <c r="E92" s="29">
        <v>14</v>
      </c>
      <c r="F92" s="29">
        <v>13</v>
      </c>
      <c r="G92" s="29">
        <v>31</v>
      </c>
      <c r="I92" s="33" t="str">
        <f t="shared" si="1"/>
        <v xml:space="preserve">Rwterford </v>
      </c>
      <c r="J92" s="29">
        <v>11</v>
      </c>
      <c r="K92" s="32">
        <f>50000+IF(L92="",20000,35000*(VLOOKUP(L92,Jockey!$A$2:$J$113,10,FALSE)/100)^0.7)*(D92/LARGE($D$2:$D$126,1))^0.8*(E92/LARGE($E$2:$E$126,1))^0.1*(F92/LARGE($F$2:$F$126,1))^0.6*(G92/LARGE($G$2:$G$126,1))^0.35*(1+(LARGE($J$2:$J$126,1)-J92)/LARGE($J$2:$J$126,1))^0.105</f>
        <v>69324.193277053055</v>
      </c>
      <c r="L92" s="33" t="str">
        <f>IFERROR(VLOOKUP(A92,Selecionados!$D$2:$E$101,2,FALSE),"")</f>
        <v>Adrien-Marie Legendre</v>
      </c>
      <c r="M92" s="32">
        <f>K92*(Selecionados!$Q$4/100)</f>
        <v>2301.5632167981548</v>
      </c>
      <c r="N92" s="32">
        <f>K92*Selecionados!$I$4+(Selecionados!$N$5/100)*K92*Selecionados!$N$4+(Selecionados!$J$5/100)*K92*Selecionados!$J$4</f>
        <v>74291.130070124535</v>
      </c>
    </row>
    <row r="93" spans="1:14" x14ac:dyDescent="0.25">
      <c r="A93" t="s">
        <v>603</v>
      </c>
      <c r="B93" t="s">
        <v>166</v>
      </c>
      <c r="C93" s="29">
        <v>1</v>
      </c>
      <c r="D93" s="29">
        <v>11</v>
      </c>
      <c r="E93" s="29">
        <v>15</v>
      </c>
      <c r="F93" s="29">
        <v>16</v>
      </c>
      <c r="G93" s="29">
        <v>53</v>
      </c>
      <c r="I93" s="33" t="str">
        <f t="shared" si="1"/>
        <v xml:space="preserve">Dubinyum دوبنيوم </v>
      </c>
      <c r="J93" s="29">
        <v>13</v>
      </c>
      <c r="K93" s="32">
        <f>50000+IF(L93="",20000,35000*(VLOOKUP(L93,Jockey!$A$2:$J$113,10,FALSE)/100)^0.7)*(D93/LARGE($D$2:$D$126,1))^0.8*(E93/LARGE($E$2:$E$126,1))^0.1*(F93/LARGE($F$2:$F$126,1))^0.6*(G93/LARGE($G$2:$G$126,1))^0.35*(1+(LARGE($J$2:$J$126,1)-J93)/LARGE($J$2:$J$126,1))^0.105</f>
        <v>69446.177344399082</v>
      </c>
      <c r="L93" s="33" t="str">
        <f>IFERROR(VLOOKUP(A93,Selecionados!$D$2:$E$101,2,FALSE),"")</f>
        <v>Albert A. Michelson</v>
      </c>
      <c r="M93" s="32">
        <f>K93*(Selecionados!$Q$4/100)</f>
        <v>2305.6130878340427</v>
      </c>
      <c r="N93" s="32">
        <f>K93*Selecionados!$I$4+(Selecionados!$N$5/100)*K93*Selecionados!$N$4+(Selecionados!$J$5/100)*K93*Selecionados!$J$4</f>
        <v>74421.854046636858</v>
      </c>
    </row>
    <row r="94" spans="1:14" x14ac:dyDescent="0.25">
      <c r="A94" t="s">
        <v>575</v>
      </c>
      <c r="B94" t="s">
        <v>84</v>
      </c>
      <c r="C94" s="29">
        <v>1</v>
      </c>
      <c r="D94" s="29">
        <v>15</v>
      </c>
      <c r="E94" s="29">
        <v>16</v>
      </c>
      <c r="F94" s="29">
        <v>12</v>
      </c>
      <c r="G94" s="29">
        <v>33</v>
      </c>
      <c r="I94" s="33" t="str">
        <f t="shared" si="1"/>
        <v xml:space="preserve">сиборгиум </v>
      </c>
      <c r="J94" s="29">
        <v>9</v>
      </c>
      <c r="K94" s="32">
        <f>50000+IF(L94="",20000,35000*(VLOOKUP(L94,Jockey!$A$2:$J$113,10,FALSE)/100)^0.7)*(D94/LARGE($D$2:$D$126,1))^0.8*(E94/LARGE($E$2:$E$126,1))^0.1*(F94/LARGE($F$2:$F$126,1))^0.6*(G94/LARGE($G$2:$G$126,1))^0.35*(1+(LARGE($J$2:$J$126,1)-J94)/LARGE($J$2:$J$126,1))^0.105</f>
        <v>60475.084944154645</v>
      </c>
      <c r="L94" s="33" t="str">
        <f>IFERROR(VLOOKUP(A94,Selecionados!$D$2:$E$101,2,FALSE),"")</f>
        <v/>
      </c>
      <c r="M94" s="32">
        <f>K94*(Selecionados!$Q$4/100)</f>
        <v>2007.7728201459283</v>
      </c>
      <c r="N94" s="32">
        <f>K94*Selecionados!$I$4+(Selecionados!$N$5/100)*K94*Selecionados!$N$4+(Selecionados!$J$5/100)*K94*Selecionados!$J$4</f>
        <v>64808.001207208683</v>
      </c>
    </row>
    <row r="95" spans="1:14" x14ac:dyDescent="0.25">
      <c r="A95" t="s">
        <v>147</v>
      </c>
      <c r="B95" t="s">
        <v>18</v>
      </c>
      <c r="C95" s="29">
        <v>1</v>
      </c>
      <c r="D95" s="29">
        <v>14</v>
      </c>
      <c r="E95" s="29">
        <v>17</v>
      </c>
      <c r="F95" s="29">
        <v>15</v>
      </c>
      <c r="G95" s="29">
        <v>41</v>
      </c>
      <c r="I95" s="33" t="str">
        <f t="shared" si="1"/>
        <v xml:space="preserve">Bóhrio </v>
      </c>
      <c r="J95" s="29">
        <v>12</v>
      </c>
      <c r="K95" s="32">
        <f>50000+IF(L95="",20000,35000*(VLOOKUP(L95,Jockey!$A$2:$J$113,10,FALSE)/100)^0.7)*(D95/LARGE($D$2:$D$126,1))^0.8*(E95/LARGE($E$2:$E$126,1))^0.1*(F95/LARGE($F$2:$F$126,1))^0.6*(G95/LARGE($G$2:$G$126,1))^0.35*(1+(LARGE($J$2:$J$126,1)-J95)/LARGE($J$2:$J$126,1))^0.105</f>
        <v>62081.582319461457</v>
      </c>
      <c r="L95" s="33" t="str">
        <f>IFERROR(VLOOKUP(A95,Selecionados!$D$2:$E$101,2,FALSE),"")</f>
        <v/>
      </c>
      <c r="M95" s="32">
        <f>K95*(Selecionados!$Q$4/100)</f>
        <v>2061.1085330061142</v>
      </c>
      <c r="N95" s="32">
        <f>K95*Selecionados!$I$4+(Selecionados!$N$5/100)*K95*Selecionados!$N$4+(Selecionados!$J$5/100)*K95*Selecionados!$J$4</f>
        <v>66529.600836781829</v>
      </c>
    </row>
    <row r="96" spans="1:14" x14ac:dyDescent="0.25">
      <c r="A96" t="s">
        <v>148</v>
      </c>
      <c r="B96" t="s">
        <v>33</v>
      </c>
      <c r="C96" s="29">
        <v>2</v>
      </c>
      <c r="D96" s="29">
        <v>15</v>
      </c>
      <c r="E96" s="29">
        <v>10</v>
      </c>
      <c r="F96" s="29">
        <v>14</v>
      </c>
      <c r="G96" s="29">
        <v>43</v>
      </c>
      <c r="I96" s="33" t="str">
        <f t="shared" si="1"/>
        <v xml:space="preserve">Hássio </v>
      </c>
      <c r="J96" s="29">
        <v>13</v>
      </c>
      <c r="K96" s="32">
        <f>50000+IF(L96="",20000,35000*(VLOOKUP(L96,Jockey!$A$2:$J$113,10,FALSE)/100)^0.7)*(D96/LARGE($D$2:$D$126,1))^0.8*(E96/LARGE($E$2:$E$126,1))^0.1*(F96/LARGE($F$2:$F$126,1))^0.6*(G96/LARGE($G$2:$G$126,1))^0.35*(1+(LARGE($J$2:$J$126,1)-J96)/LARGE($J$2:$J$126,1))^0.105</f>
        <v>70530.816066506362</v>
      </c>
      <c r="L96" s="33" t="str">
        <f>IFERROR(VLOOKUP(A96,Selecionados!$D$2:$E$101,2,FALSE),"")</f>
        <v>Hans Christian Ørsted</v>
      </c>
      <c r="M96" s="32">
        <f>K96*(Selecionados!$Q$4/100)</f>
        <v>2341.6230934080045</v>
      </c>
      <c r="N96" s="32">
        <f>K96*Selecionados!$I$4+(Selecionados!$N$5/100)*K96*Selecionados!$N$4+(Selecionados!$J$5/100)*K96*Selecionados!$J$4</f>
        <v>75584.204916860952</v>
      </c>
    </row>
    <row r="97" spans="1:14" x14ac:dyDescent="0.25">
      <c r="A97" t="s">
        <v>149</v>
      </c>
      <c r="B97" t="s">
        <v>33</v>
      </c>
      <c r="C97" s="29">
        <v>1</v>
      </c>
      <c r="D97" s="29">
        <v>15</v>
      </c>
      <c r="E97" s="29">
        <v>18</v>
      </c>
      <c r="F97" s="29">
        <v>18</v>
      </c>
      <c r="G97" s="29">
        <v>58</v>
      </c>
      <c r="I97" s="33" t="str">
        <f t="shared" si="1"/>
        <v xml:space="preserve">Meitnério </v>
      </c>
      <c r="J97" s="29">
        <v>11</v>
      </c>
      <c r="K97" s="32">
        <f>50000+IF(L97="",20000,35000*(VLOOKUP(L97,Jockey!$A$2:$J$113,10,FALSE)/100)^0.7)*(D97/LARGE($D$2:$D$126,1))^0.8*(E97/LARGE($E$2:$E$126,1))^0.1*(F97/LARGE($F$2:$F$126,1))^0.6*(G97/LARGE($G$2:$G$126,1))^0.35*(1+(LARGE($J$2:$J$126,1)-J97)/LARGE($J$2:$J$126,1))^0.105</f>
        <v>66277.042165868523</v>
      </c>
      <c r="L97" s="33" t="str">
        <f>IFERROR(VLOOKUP(A97,Selecionados!$D$2:$E$101,2,FALSE),"")</f>
        <v/>
      </c>
      <c r="M97" s="32">
        <f>K97*(Selecionados!$Q$4/100)</f>
        <v>2200.3977999068284</v>
      </c>
      <c r="N97" s="32">
        <f>K97*Selecionados!$I$4+(Selecionados!$N$5/100)*K97*Selecionados!$N$4+(Selecionados!$J$5/100)*K97*Selecionados!$J$4</f>
        <v>71025.656808291882</v>
      </c>
    </row>
    <row r="98" spans="1:14" x14ac:dyDescent="0.25">
      <c r="A98" t="s">
        <v>150</v>
      </c>
      <c r="B98" t="s">
        <v>33</v>
      </c>
      <c r="C98" s="29">
        <v>1</v>
      </c>
      <c r="D98" s="29">
        <v>14</v>
      </c>
      <c r="E98" s="29">
        <v>14</v>
      </c>
      <c r="F98" s="29">
        <v>14</v>
      </c>
      <c r="G98" s="29">
        <v>43</v>
      </c>
      <c r="I98" s="33" t="str">
        <f t="shared" si="1"/>
        <v xml:space="preserve">Darmstádtio </v>
      </c>
      <c r="J98" s="29">
        <v>10</v>
      </c>
      <c r="K98" s="32">
        <f>50000+IF(L98="",20000,35000*(VLOOKUP(L98,Jockey!$A$2:$J$113,10,FALSE)/100)^0.7)*(D98/LARGE($D$2:$D$126,1))^0.8*(E98/LARGE($E$2:$E$126,1))^0.1*(F98/LARGE($F$2:$F$126,1))^0.6*(G98/LARGE($G$2:$G$126,1))^0.35*(1+(LARGE($J$2:$J$126,1)-J98)/LARGE($J$2:$J$126,1))^0.105</f>
        <v>70481.533394122293</v>
      </c>
      <c r="L98" s="33" t="str">
        <f>IFERROR(VLOOKUP(A98,Selecionados!$D$2:$E$101,2,FALSE),"")</f>
        <v>Jakob Bernoulli</v>
      </c>
      <c r="M98" s="32">
        <f>K98*(Selecionados!$Q$4/100)</f>
        <v>2339.9869086848535</v>
      </c>
      <c r="N98" s="32">
        <f>K98*Selecionados!$I$4+(Selecionados!$N$5/100)*K98*Selecionados!$N$4+(Selecionados!$J$5/100)*K98*Selecionados!$J$4</f>
        <v>75531.391241703473</v>
      </c>
    </row>
    <row r="99" spans="1:14" x14ac:dyDescent="0.25">
      <c r="A99" t="s">
        <v>596</v>
      </c>
      <c r="B99" t="s">
        <v>160</v>
      </c>
      <c r="C99" s="29">
        <v>2</v>
      </c>
      <c r="D99" s="29">
        <v>10</v>
      </c>
      <c r="E99" s="29">
        <v>13</v>
      </c>
      <c r="F99" s="29">
        <v>11</v>
      </c>
      <c r="G99" s="29">
        <v>32</v>
      </c>
      <c r="I99" s="33" t="str">
        <f t="shared" si="1"/>
        <v xml:space="preserve">Lúnqín 倫琴 </v>
      </c>
      <c r="J99" s="29">
        <v>10</v>
      </c>
      <c r="K99" s="32">
        <f>50000+IF(L99="",20000,35000*(VLOOKUP(L99,Jockey!$A$2:$J$113,10,FALSE)/100)^0.7)*(D99/LARGE($D$2:$D$126,1))^0.8*(E99/LARGE($E$2:$E$126,1))^0.1*(F99/LARGE($F$2:$F$126,1))^0.6*(G99/LARGE($G$2:$G$126,1))^0.35*(1+(LARGE($J$2:$J$126,1)-J99)/LARGE($J$2:$J$126,1))^0.105</f>
        <v>62119.616945840469</v>
      </c>
      <c r="L99" s="33" t="str">
        <f>IFERROR(VLOOKUP(A99,Selecionados!$D$2:$E$101,2,FALSE),"")</f>
        <v>Thomas Davenport</v>
      </c>
      <c r="M99" s="32">
        <f>K99*(Selecionados!$Q$4/100)</f>
        <v>2062.3712826018977</v>
      </c>
      <c r="N99" s="32">
        <f>K99*Selecionados!$I$4+(Selecionados!$N$5/100)*K99*Selecionados!$N$4+(Selecionados!$J$5/100)*K99*Selecionados!$J$4</f>
        <v>66570.360566421936</v>
      </c>
    </row>
    <row r="100" spans="1:14" x14ac:dyDescent="0.25">
      <c r="A100" t="s">
        <v>525</v>
      </c>
      <c r="B100" t="s">
        <v>161</v>
      </c>
      <c r="C100" s="29">
        <v>3</v>
      </c>
      <c r="D100" s="29">
        <v>12</v>
      </c>
      <c r="E100" s="29">
        <v>15</v>
      </c>
      <c r="F100" s="29">
        <v>13</v>
      </c>
      <c r="G100" s="29">
        <v>46</v>
      </c>
      <c r="I100" s="33" t="str">
        <f t="shared" si="1"/>
        <v xml:space="preserve">Copernito </v>
      </c>
      <c r="J100" s="29">
        <v>8</v>
      </c>
      <c r="K100" s="32">
        <f>50000+IF(L100="",20000,35000*(VLOOKUP(L100,Jockey!$A$2:$J$113,10,FALSE)/100)^0.7)*(D100/LARGE($D$2:$D$126,1))^0.8*(E100/LARGE($E$2:$E$126,1))^0.1*(F100/LARGE($F$2:$F$126,1))^0.6*(G100/LARGE($G$2:$G$126,1))^0.35*(1+(LARGE($J$2:$J$126,1)-J100)/LARGE($J$2:$J$126,1))^0.105</f>
        <v>68052.874651072532</v>
      </c>
      <c r="L100" s="33" t="str">
        <f>IFERROR(VLOOKUP(A100,Selecionados!$D$2:$E$101,2,FALSE),"")</f>
        <v>Werner K. Heisenberg</v>
      </c>
      <c r="M100" s="32">
        <f>K100*(Selecionados!$Q$4/100)</f>
        <v>2259.3554384156014</v>
      </c>
      <c r="N100" s="32">
        <f>K100*Selecionados!$I$4+(Selecionados!$N$5/100)*K100*Selecionados!$N$4+(Selecionados!$J$5/100)*K100*Selecionados!$J$4</f>
        <v>72928.724062371475</v>
      </c>
    </row>
    <row r="101" spans="1:14" x14ac:dyDescent="0.25">
      <c r="A101" t="s">
        <v>151</v>
      </c>
      <c r="B101" t="s">
        <v>33</v>
      </c>
      <c r="C101" s="29">
        <v>1</v>
      </c>
      <c r="D101" s="29">
        <v>10</v>
      </c>
      <c r="E101" s="29">
        <v>16</v>
      </c>
      <c r="F101" s="29">
        <v>12</v>
      </c>
      <c r="G101" s="29">
        <v>40</v>
      </c>
      <c r="I101" s="33" t="str">
        <f t="shared" si="1"/>
        <v xml:space="preserve">Niônio </v>
      </c>
      <c r="J101" s="29">
        <v>13</v>
      </c>
      <c r="K101" s="32">
        <f>50000+IF(L101="",20000,35000*(VLOOKUP(L101,Jockey!$A$2:$J$113,10,FALSE)/100)^0.7)*(D101/LARGE($D$2:$D$126,1))^0.8*(E101/LARGE($E$2:$E$126,1))^0.1*(F101/LARGE($F$2:$F$126,1))^0.6*(G101/LARGE($G$2:$G$126,1))^0.35*(1+(LARGE($J$2:$J$126,1)-J101)/LARGE($J$2:$J$126,1))^0.105</f>
        <v>57902.165447933905</v>
      </c>
      <c r="L101" s="33" t="str">
        <f>IFERROR(VLOOKUP(A101,Selecionados!$D$2:$E$101,2,FALSE),"")</f>
        <v/>
      </c>
      <c r="M101" s="32">
        <f>K101*(Selecionados!$Q$4/100)</f>
        <v>1922.3518928714</v>
      </c>
      <c r="N101" s="32">
        <f>K101*Selecionados!$I$4+(Selecionados!$N$5/100)*K101*Selecionados!$N$4+(Selecionados!$J$5/100)*K101*Selecionados!$J$4</f>
        <v>62050.737286519608</v>
      </c>
    </row>
    <row r="102" spans="1:14" x14ac:dyDescent="0.25">
      <c r="A102" t="s">
        <v>152</v>
      </c>
      <c r="B102" t="s">
        <v>33</v>
      </c>
      <c r="C102" s="29">
        <v>2</v>
      </c>
      <c r="D102" s="29">
        <v>15</v>
      </c>
      <c r="E102" s="29">
        <v>17</v>
      </c>
      <c r="F102" s="29">
        <v>12</v>
      </c>
      <c r="G102" s="29">
        <v>49</v>
      </c>
      <c r="I102" s="33" t="str">
        <f t="shared" si="1"/>
        <v xml:space="preserve">Fleróvio </v>
      </c>
      <c r="J102" s="29">
        <v>13</v>
      </c>
      <c r="K102" s="32">
        <f>50000+IF(L102="",20000,35000*(VLOOKUP(L102,Jockey!$A$2:$J$113,10,FALSE)/100)^0.7)*(D102/LARGE($D$2:$D$126,1))^0.8*(E102/LARGE($E$2:$E$126,1))^0.1*(F102/LARGE($F$2:$F$126,1))^0.6*(G102/LARGE($G$2:$G$126,1))^0.35*(1+(LARGE($J$2:$J$126,1)-J102)/LARGE($J$2:$J$126,1))^0.105</f>
        <v>70660.351172507537</v>
      </c>
      <c r="L102" s="33" t="str">
        <f>IFERROR(VLOOKUP(A102,Selecionados!$D$2:$E$101,2,FALSE),"")</f>
        <v>Isaac Newton</v>
      </c>
      <c r="M102" s="32">
        <f>K102*(Selecionados!$Q$4/100)</f>
        <v>2345.9236589272432</v>
      </c>
      <c r="N102" s="32">
        <f>K102*Selecionados!$I$4+(Selecionados!$N$5/100)*K102*Selecionados!$N$4+(Selecionados!$J$5/100)*K102*Selecionados!$J$4</f>
        <v>75723.02094851849</v>
      </c>
    </row>
    <row r="103" spans="1:14" x14ac:dyDescent="0.25">
      <c r="A103" t="s">
        <v>604</v>
      </c>
      <c r="B103" t="s">
        <v>166</v>
      </c>
      <c r="C103" s="29">
        <v>1</v>
      </c>
      <c r="D103" s="29">
        <v>18</v>
      </c>
      <c r="E103" s="29">
        <v>14</v>
      </c>
      <c r="F103" s="29">
        <v>13</v>
      </c>
      <c r="G103" s="29">
        <v>43</v>
      </c>
      <c r="I103" s="33" t="str">
        <f t="shared" si="1"/>
        <v xml:space="preserve">Maskufi مسكوفي </v>
      </c>
      <c r="J103" s="29">
        <v>10</v>
      </c>
      <c r="K103" s="32">
        <f>50000+IF(L103="",20000,35000*(VLOOKUP(L103,Jockey!$A$2:$J$113,10,FALSE)/100)^0.7)*(D103/LARGE($D$2:$D$126,1))^0.8*(E103/LARGE($E$2:$E$126,1))^0.1*(F103/LARGE($F$2:$F$126,1))^0.6*(G103/LARGE($G$2:$G$126,1))^0.35*(1+(LARGE($J$2:$J$126,1)-J103)/LARGE($J$2:$J$126,1))^0.105</f>
        <v>73953.403671048698</v>
      </c>
      <c r="L103" s="33" t="str">
        <f>IFERROR(VLOOKUP(A103,Selecionados!$D$2:$E$101,2,FALSE),"")</f>
        <v>Julius von Mayer</v>
      </c>
      <c r="M103" s="32">
        <f>K103*(Selecionados!$Q$4/100)</f>
        <v>2455.2530018788098</v>
      </c>
      <c r="N103" s="32">
        <f>K103*Selecionados!$I$4+(Selecionados!$N$5/100)*K103*Selecionados!$N$4+(Selecionados!$J$5/100)*K103*Selecionados!$J$4</f>
        <v>79252.013929643465</v>
      </c>
    </row>
    <row r="104" spans="1:14" x14ac:dyDescent="0.25">
      <c r="A104" t="s">
        <v>153</v>
      </c>
      <c r="B104" t="s">
        <v>18</v>
      </c>
      <c r="C104" s="29">
        <v>2</v>
      </c>
      <c r="D104" s="29">
        <v>13</v>
      </c>
      <c r="E104" s="29">
        <v>16</v>
      </c>
      <c r="F104" s="29">
        <v>18</v>
      </c>
      <c r="G104" s="29">
        <v>53</v>
      </c>
      <c r="I104" s="33" t="str">
        <f t="shared" si="1"/>
        <v xml:space="preserve">Livermório </v>
      </c>
      <c r="J104" s="29">
        <v>13</v>
      </c>
      <c r="K104" s="32">
        <f>50000+IF(L104="",20000,35000*(VLOOKUP(L104,Jockey!$A$2:$J$113,10,FALSE)/100)^0.7)*(D104/LARGE($D$2:$D$126,1))^0.8*(E104/LARGE($E$2:$E$126,1))^0.1*(F104/LARGE($F$2:$F$126,1))^0.6*(G104/LARGE($G$2:$G$126,1))^0.35*(1+(LARGE($J$2:$J$126,1)-J104)/LARGE($J$2:$J$126,1))^0.105</f>
        <v>74008.728564675461</v>
      </c>
      <c r="L104" s="33" t="str">
        <f>IFERROR(VLOOKUP(A104,Selecionados!$D$2:$E$101,2,FALSE),"")</f>
        <v>Ludwig E. Boltzmann</v>
      </c>
      <c r="M104" s="32">
        <f>K104*(Selecionados!$Q$4/100)</f>
        <v>2457.089788347218</v>
      </c>
      <c r="N104" s="32">
        <f>K104*Selecionados!$I$4+(Selecionados!$N$5/100)*K104*Selecionados!$N$4+(Selecionados!$J$5/100)*K104*Selecionados!$J$4</f>
        <v>79311.302738849146</v>
      </c>
    </row>
    <row r="105" spans="1:14" x14ac:dyDescent="0.25">
      <c r="A105" t="s">
        <v>605</v>
      </c>
      <c r="B105" t="s">
        <v>166</v>
      </c>
      <c r="C105" s="29">
        <v>2</v>
      </c>
      <c r="D105" s="29">
        <v>15</v>
      </c>
      <c r="E105" s="29">
        <v>14</v>
      </c>
      <c r="F105" s="29">
        <v>15</v>
      </c>
      <c r="G105" s="29">
        <v>46</v>
      </c>
      <c r="I105" s="33" t="str">
        <f t="shared" si="1"/>
        <v xml:space="preserve">Tinyisu تينييسو </v>
      </c>
      <c r="J105" s="29">
        <v>9</v>
      </c>
      <c r="K105" s="32">
        <f>50000+IF(L105="",20000,35000*(VLOOKUP(L105,Jockey!$A$2:$J$113,10,FALSE)/100)^0.7)*(D105/LARGE($D$2:$D$126,1))^0.8*(E105/LARGE($E$2:$E$126,1))^0.1*(F105/LARGE($F$2:$F$126,1))^0.6*(G105/LARGE($G$2:$G$126,1))^0.35*(1+(LARGE($J$2:$J$126,1)-J105)/LARGE($J$2:$J$126,1))^0.105</f>
        <v>73228.853626383701</v>
      </c>
      <c r="L105" s="33" t="str">
        <f>IFERROR(VLOOKUP(A105,Selecionados!$D$2:$E$101,2,FALSE),"")</f>
        <v>James Prescott Joule</v>
      </c>
      <c r="M105" s="32">
        <f>K105*(Selecionados!$Q$4/100)</f>
        <v>2431.1979403959317</v>
      </c>
      <c r="N105" s="32">
        <f>K105*Selecionados!$I$4+(Selecionados!$N$5/100)*K105*Selecionados!$N$4+(Selecionados!$J$5/100)*K105*Selecionados!$J$4</f>
        <v>78475.551354804687</v>
      </c>
    </row>
    <row r="106" spans="1:14" x14ac:dyDescent="0.25">
      <c r="A106" t="s">
        <v>563</v>
      </c>
      <c r="B106" t="s">
        <v>33</v>
      </c>
      <c r="C106" s="29">
        <v>2</v>
      </c>
      <c r="D106" s="29">
        <v>17</v>
      </c>
      <c r="E106" s="29">
        <v>11</v>
      </c>
      <c r="F106" s="29">
        <v>14</v>
      </c>
      <c r="G106" s="29">
        <v>46</v>
      </c>
      <c r="I106" s="33" t="str">
        <f t="shared" si="1"/>
        <v xml:space="preserve">Oganesoon </v>
      </c>
      <c r="J106" s="29">
        <v>13</v>
      </c>
      <c r="K106" s="32">
        <f>50000+IF(L106="",20000,35000*(VLOOKUP(L106,Jockey!$A$2:$J$113,10,FALSE)/100)^0.7)*(D106/LARGE($D$2:$D$126,1))^0.8*(E106/LARGE($E$2:$E$126,1))^0.1*(F106/LARGE($F$2:$F$126,1))^0.6*(G106/LARGE($G$2:$G$126,1))^0.35*(1+(LARGE($J$2:$J$126,1)-J106)/LARGE($J$2:$J$126,1))^0.105</f>
        <v>63404.321740127249</v>
      </c>
      <c r="L106" s="33" t="str">
        <f>IFERROR(VLOOKUP(A106,Selecionados!$D$2:$E$101,2,FALSE),"")</f>
        <v/>
      </c>
      <c r="M106" s="32">
        <f>K106*(Selecionados!$Q$4/100)</f>
        <v>2105.0234817722185</v>
      </c>
      <c r="N106" s="32">
        <f>K106*Selecionados!$I$4+(Selecionados!$N$5/100)*K106*Selecionados!$N$4+(Selecionados!$J$5/100)*K106*Selecionados!$J$4</f>
        <v>67947.111834087453</v>
      </c>
    </row>
    <row r="107" spans="1:14" x14ac:dyDescent="0.25">
      <c r="A107" t="s">
        <v>564</v>
      </c>
      <c r="B107" t="s">
        <v>161</v>
      </c>
      <c r="C107" s="29">
        <v>1</v>
      </c>
      <c r="D107" s="29">
        <v>17</v>
      </c>
      <c r="E107" s="29">
        <v>17</v>
      </c>
      <c r="F107" s="29">
        <v>16</v>
      </c>
      <c r="G107" s="29">
        <v>55</v>
      </c>
      <c r="I107" s="33" t="str">
        <f t="shared" si="1"/>
        <v xml:space="preserve">Hidra </v>
      </c>
      <c r="J107" s="29">
        <v>13</v>
      </c>
      <c r="K107" s="32">
        <f>50000+IF(L107="",20000,35000*(VLOOKUP(L107,Jockey!$A$2:$J$113,10,FALSE)/100)^0.7)*(D107/LARGE($D$2:$D$126,1))^0.8*(E107/LARGE($E$2:$E$126,1))^0.1*(F107/LARGE($F$2:$F$126,1))^0.6*(G107/LARGE($G$2:$G$126,1))^0.35*(1+(LARGE($J$2:$J$126,1)-J107)/LARGE($J$2:$J$126,1))^0.105</f>
        <v>78258.257890228531</v>
      </c>
      <c r="L107" s="33" t="str">
        <f>IFERROR(VLOOKUP(A107,Selecionados!$D$2:$E$101,2,FALSE),"")</f>
        <v>Henry Moseley</v>
      </c>
      <c r="M107" s="32">
        <f>K107*(Selecionados!$Q$4/100)</f>
        <v>2598.1741619555796</v>
      </c>
      <c r="N107" s="32">
        <f>K107*Selecionados!$I$4+(Selecionados!$N$5/100)*K107*Selecionados!$N$4+(Selecionados!$J$5/100)*K107*Selecionados!$J$4</f>
        <v>83865.302157201862</v>
      </c>
    </row>
    <row r="108" spans="1:14" x14ac:dyDescent="0.25">
      <c r="A108" t="s">
        <v>597</v>
      </c>
      <c r="B108" t="s">
        <v>160</v>
      </c>
      <c r="C108" s="29">
        <v>2</v>
      </c>
      <c r="D108" s="29">
        <v>17</v>
      </c>
      <c r="E108" s="29">
        <v>18</v>
      </c>
      <c r="F108" s="29">
        <v>12</v>
      </c>
      <c r="G108" s="29">
        <v>34</v>
      </c>
      <c r="I108" s="33" t="str">
        <f t="shared" si="1"/>
        <v xml:space="preserve">Xiāo jī 硝基 </v>
      </c>
      <c r="J108" s="29">
        <v>11</v>
      </c>
      <c r="K108" s="32">
        <f>50000+IF(L108="",20000,35000*(VLOOKUP(L108,Jockey!$A$2:$J$113,10,FALSE)/100)^0.7)*(D108/LARGE($D$2:$D$126,1))^0.8*(E108/LARGE($E$2:$E$126,1))^0.1*(F108/LARGE($F$2:$F$126,1))^0.6*(G108/LARGE($G$2:$G$126,1))^0.35*(1+(LARGE($J$2:$J$126,1)-J108)/LARGE($J$2:$J$126,1))^0.105</f>
        <v>70476.830476044895</v>
      </c>
      <c r="L108" s="33" t="str">
        <f>IFERROR(VLOOKUP(A108,Selecionados!$D$2:$E$101,2,FALSE),"")</f>
        <v>August W. von Hofmann</v>
      </c>
      <c r="M108" s="32">
        <f>K108*(Selecionados!$Q$4/100)</f>
        <v>2339.8307718046835</v>
      </c>
      <c r="N108" s="32">
        <f>K108*Selecionados!$I$4+(Selecionados!$N$5/100)*K108*Selecionados!$N$4+(Selecionados!$J$5/100)*K108*Selecionados!$J$4</f>
        <v>75526.351369155673</v>
      </c>
    </row>
    <row r="109" spans="1:14" x14ac:dyDescent="0.25">
      <c r="A109" t="s">
        <v>576</v>
      </c>
      <c r="B109" t="s">
        <v>84</v>
      </c>
      <c r="C109" s="29">
        <v>2</v>
      </c>
      <c r="D109" s="29">
        <v>13</v>
      </c>
      <c r="E109" s="29">
        <v>15</v>
      </c>
      <c r="F109" s="29">
        <v>15</v>
      </c>
      <c r="G109" s="29">
        <v>66</v>
      </c>
      <c r="I109" s="33" t="str">
        <f t="shared" si="1"/>
        <v xml:space="preserve">углерод </v>
      </c>
      <c r="J109" s="29">
        <v>9</v>
      </c>
      <c r="K109" s="32">
        <f>50000+IF(L109="",20000,35000*(VLOOKUP(L109,Jockey!$A$2:$J$113,10,FALSE)/100)^0.7)*(D109/LARGE($D$2:$D$126,1))^0.8*(E109/LARGE($E$2:$E$126,1))^0.1*(F109/LARGE($F$2:$F$126,1))^0.6*(G109/LARGE($G$2:$G$126,1))^0.35*(1+(LARGE($J$2:$J$126,1)-J109)/LARGE($J$2:$J$126,1))^0.105</f>
        <v>73669.054553165915</v>
      </c>
      <c r="L109" s="33" t="str">
        <f>IFERROR(VLOOKUP(A109,Selecionados!$D$2:$E$101,2,FALSE),"")</f>
        <v>Antoine César Becquerel</v>
      </c>
      <c r="M109" s="32">
        <f>K109*(Selecionados!$Q$4/100)</f>
        <v>2445.8126111651013</v>
      </c>
      <c r="N109" s="32">
        <f>K109*Selecionados!$I$4+(Selecionados!$N$5/100)*K109*Selecionados!$N$4+(Selecionados!$J$5/100)*K109*Selecionados!$J$4</f>
        <v>78947.291778495841</v>
      </c>
    </row>
    <row r="110" spans="1:14" x14ac:dyDescent="0.25">
      <c r="A110" t="s">
        <v>582</v>
      </c>
      <c r="B110" s="20" t="s">
        <v>33</v>
      </c>
      <c r="C110" s="29">
        <v>2</v>
      </c>
      <c r="D110" s="29">
        <v>11</v>
      </c>
      <c r="E110" s="29">
        <v>16</v>
      </c>
      <c r="F110" s="29">
        <v>13</v>
      </c>
      <c r="G110" s="29">
        <v>48</v>
      </c>
      <c r="I110" s="33" t="str">
        <f t="shared" si="1"/>
        <v xml:space="preserve">Deuterium </v>
      </c>
      <c r="J110" s="29">
        <v>14</v>
      </c>
      <c r="K110" s="32">
        <f>50000+IF(L110="",20000,35000*(VLOOKUP(L110,Jockey!$A$2:$J$113,10,FALSE)/100)^0.7)*(D110/LARGE($D$2:$D$126,1))^0.8*(E110/LARGE($E$2:$E$126,1))^0.1*(F110/LARGE($F$2:$F$126,1))^0.6*(G110/LARGE($G$2:$G$126,1))^0.35*(1+(LARGE($J$2:$J$126,1)-J110)/LARGE($J$2:$J$126,1))^0.105</f>
        <v>66570.014044110227</v>
      </c>
      <c r="L110" s="33" t="str">
        <f>IFERROR(VLOOKUP(A110,Selecionados!$D$2:$E$101,2,FALSE),"")</f>
        <v>Joseph J. Thompson</v>
      </c>
      <c r="M110" s="32">
        <f>K110*(Selecionados!$Q$4/100)</f>
        <v>2210.1244662644531</v>
      </c>
      <c r="N110" s="32">
        <f>K110*Selecionados!$I$4+(Selecionados!$N$5/100)*K110*Selecionados!$N$4+(Selecionados!$J$5/100)*K110*Selecionados!$J$4</f>
        <v>71339.619522958601</v>
      </c>
    </row>
    <row r="111" spans="1:14" x14ac:dyDescent="0.25">
      <c r="A111" t="s">
        <v>583</v>
      </c>
      <c r="B111" t="s">
        <v>164</v>
      </c>
      <c r="C111" s="29">
        <v>1</v>
      </c>
      <c r="D111" s="29">
        <v>17</v>
      </c>
      <c r="E111" s="29">
        <v>11</v>
      </c>
      <c r="F111" s="29">
        <v>18</v>
      </c>
      <c r="G111" s="29">
        <v>60</v>
      </c>
      <c r="I111" s="33" t="str">
        <f t="shared" si="1"/>
        <v xml:space="preserve">ትሪቲየም </v>
      </c>
      <c r="J111" s="29">
        <v>7</v>
      </c>
      <c r="K111" s="32">
        <f>50000+IF(L111="",20000,35000*(VLOOKUP(L111,Jockey!$A$2:$J$113,10,FALSE)/100)^0.7)*(D111/LARGE($D$2:$D$126,1))^0.8*(E111/LARGE($E$2:$E$126,1))^0.1*(F111/LARGE($F$2:$F$126,1))^0.6*(G111/LARGE($G$2:$G$126,1))^0.35*(1+(LARGE($J$2:$J$126,1)-J111)/LARGE($J$2:$J$126,1))^0.105</f>
        <v>81009.924879062892</v>
      </c>
      <c r="L111" s="33" t="str">
        <f>IFERROR(VLOOKUP(A111,Selecionados!$D$2:$E$101,2,FALSE),"")</f>
        <v>Gottfried W. Leibniz</v>
      </c>
      <c r="M111" s="32">
        <f>K111*(Selecionados!$Q$4/100)</f>
        <v>2689.52950598488</v>
      </c>
      <c r="N111" s="32">
        <f>K111*Selecionados!$I$4+(Selecionados!$N$5/100)*K111*Selecionados!$N$4+(Selecionados!$J$5/100)*K111*Selecionados!$J$4</f>
        <v>86814.120463102401</v>
      </c>
    </row>
    <row r="112" spans="1:14" x14ac:dyDescent="0.25">
      <c r="A112" t="s">
        <v>565</v>
      </c>
      <c r="B112" t="s">
        <v>33</v>
      </c>
      <c r="C112" s="29">
        <v>1</v>
      </c>
      <c r="D112" s="29">
        <v>11</v>
      </c>
      <c r="E112" s="29">
        <v>17</v>
      </c>
      <c r="F112" s="29">
        <v>16</v>
      </c>
      <c r="G112" s="29">
        <v>65</v>
      </c>
      <c r="I112" s="33" t="str">
        <f t="shared" si="1"/>
        <v xml:space="preserve">Alpha </v>
      </c>
      <c r="J112" s="29">
        <v>10</v>
      </c>
      <c r="K112" s="32">
        <f>50000+IF(L112="",20000,35000*(VLOOKUP(L112,Jockey!$A$2:$J$113,10,FALSE)/100)^0.7)*(D112/LARGE($D$2:$D$126,1))^0.8*(E112/LARGE($E$2:$E$126,1))^0.1*(F112/LARGE($F$2:$F$126,1))^0.6*(G112/LARGE($G$2:$G$126,1))^0.35*(1+(LARGE($J$2:$J$126,1)-J112)/LARGE($J$2:$J$126,1))^0.105</f>
        <v>62318.820042271909</v>
      </c>
      <c r="L112" s="33" t="str">
        <f>IFERROR(VLOOKUP(A112,Selecionados!$D$2:$E$101,2,FALSE),"")</f>
        <v/>
      </c>
      <c r="M112" s="32">
        <f>K112*(Selecionados!$Q$4/100)</f>
        <v>2068.9848254034214</v>
      </c>
      <c r="N112" s="32">
        <f>K112*Selecionados!$I$4+(Selecionados!$N$5/100)*K112*Selecionados!$N$4+(Selecionados!$J$5/100)*K112*Selecionados!$J$4</f>
        <v>66783.836157666345</v>
      </c>
    </row>
    <row r="113" spans="1:14" x14ac:dyDescent="0.25">
      <c r="A113" t="s">
        <v>570</v>
      </c>
      <c r="B113" t="s">
        <v>163</v>
      </c>
      <c r="C113" s="29">
        <v>1</v>
      </c>
      <c r="D113" s="29">
        <v>15</v>
      </c>
      <c r="E113" s="29">
        <v>16</v>
      </c>
      <c r="F113" s="29">
        <v>14</v>
      </c>
      <c r="G113" s="29">
        <v>57</v>
      </c>
      <c r="I113" s="33" t="str">
        <f t="shared" si="1"/>
        <v xml:space="preserve">Byeta </v>
      </c>
      <c r="J113" s="29">
        <v>13</v>
      </c>
      <c r="K113" s="32">
        <f>50000+IF(L113="",20000,35000*(VLOOKUP(L113,Jockey!$A$2:$J$113,10,FALSE)/100)^0.7)*(D113/LARGE($D$2:$D$126,1))^0.8*(E113/LARGE($E$2:$E$126,1))^0.1*(F113/LARGE($F$2:$F$126,1))^0.6*(G113/LARGE($G$2:$G$126,1))^0.35*(1+(LARGE($J$2:$J$126,1)-J113)/LARGE($J$2:$J$126,1))^0.105</f>
        <v>73749.827002915525</v>
      </c>
      <c r="L113" s="33" t="str">
        <f>IFERROR(VLOOKUP(A113,Selecionados!$D$2:$E$101,2,FALSE),"")</f>
        <v>James C. Maxwell</v>
      </c>
      <c r="M113" s="32">
        <f>K113*(Selecionados!$Q$4/100)</f>
        <v>2448.4942564967882</v>
      </c>
      <c r="N113" s="32">
        <f>K113*Selecionados!$I$4+(Selecionados!$N$5/100)*K113*Selecionados!$N$4+(Selecionados!$J$5/100)*K113*Selecionados!$J$4</f>
        <v>79033.851409221737</v>
      </c>
    </row>
    <row r="114" spans="1:14" x14ac:dyDescent="0.25">
      <c r="A114" t="s">
        <v>571</v>
      </c>
      <c r="B114" t="s">
        <v>161</v>
      </c>
      <c r="C114" s="29">
        <v>2</v>
      </c>
      <c r="D114" s="29">
        <v>13</v>
      </c>
      <c r="E114" s="29">
        <v>17</v>
      </c>
      <c r="F114" s="29">
        <v>14</v>
      </c>
      <c r="G114" s="29">
        <v>51</v>
      </c>
      <c r="I114" s="33" t="str">
        <f t="shared" si="1"/>
        <v xml:space="preserve">Gammón Arias </v>
      </c>
      <c r="J114" s="29">
        <v>8</v>
      </c>
      <c r="K114" s="32">
        <f>50000+IF(L114="",20000,35000*(VLOOKUP(L114,Jockey!$A$2:$J$113,10,FALSE)/100)^0.7)*(D114/LARGE($D$2:$D$126,1))^0.8*(E114/LARGE($E$2:$E$126,1))^0.1*(F114/LARGE($F$2:$F$126,1))^0.6*(G114/LARGE($G$2:$G$126,1))^0.35*(1+(LARGE($J$2:$J$126,1)-J114)/LARGE($J$2:$J$126,1))^0.105</f>
        <v>71124.524813491065</v>
      </c>
      <c r="L114" s="33" t="str">
        <f>IFERROR(VLOOKUP(A114,Selecionados!$D$2:$E$101,2,FALSE),"")</f>
        <v>JC Friedrich Gauss</v>
      </c>
      <c r="M114" s="32">
        <f>K114*(Selecionados!$Q$4/100)</f>
        <v>2361.3342238078967</v>
      </c>
      <c r="N114" s="32">
        <f>K114*Selecionados!$I$4+(Selecionados!$N$5/100)*K114*Selecionados!$N$4+(Selecionados!$J$5/100)*K114*Selecionados!$J$4</f>
        <v>76220.451682398314</v>
      </c>
    </row>
    <row r="115" spans="1:14" x14ac:dyDescent="0.25">
      <c r="A115" t="s">
        <v>566</v>
      </c>
      <c r="B115" t="s">
        <v>18</v>
      </c>
      <c r="C115" s="29">
        <v>1</v>
      </c>
      <c r="D115" s="29">
        <v>18</v>
      </c>
      <c r="E115" s="29">
        <v>15</v>
      </c>
      <c r="F115" s="29">
        <v>13</v>
      </c>
      <c r="G115" s="29">
        <v>35</v>
      </c>
      <c r="I115" s="33" t="str">
        <f t="shared" si="1"/>
        <v xml:space="preserve">Lâmbida </v>
      </c>
      <c r="J115" s="29">
        <v>11</v>
      </c>
      <c r="K115" s="32">
        <f>50000+IF(L115="",20000,35000*(VLOOKUP(L115,Jockey!$A$2:$J$113,10,FALSE)/100)^0.7)*(D115/LARGE($D$2:$D$126,1))^0.8*(E115/LARGE($E$2:$E$126,1))^0.1*(F115/LARGE($F$2:$F$126,1))^0.6*(G115/LARGE($G$2:$G$126,1))^0.35*(1+(LARGE($J$2:$J$126,1)-J115)/LARGE($J$2:$J$126,1))^0.105</f>
        <v>62747.613482603745</v>
      </c>
      <c r="L115" s="33" t="str">
        <f>IFERROR(VLOOKUP(A115,Selecionados!$D$2:$E$101,2,FALSE),"")</f>
        <v/>
      </c>
      <c r="M115" s="32">
        <f>K115*(Selecionados!$Q$4/100)</f>
        <v>2083.2207676224384</v>
      </c>
      <c r="N115" s="32">
        <f>K115*Selecionados!$I$4+(Selecionados!$N$5/100)*K115*Selecionados!$N$4+(Selecionados!$J$5/100)*K115*Selecionados!$J$4</f>
        <v>67243.351771812726</v>
      </c>
    </row>
    <row r="116" spans="1:14" x14ac:dyDescent="0.25">
      <c r="A116" t="s">
        <v>567</v>
      </c>
      <c r="B116" t="s">
        <v>18</v>
      </c>
      <c r="C116" s="29">
        <v>1</v>
      </c>
      <c r="D116" s="29">
        <v>16</v>
      </c>
      <c r="E116" s="29">
        <v>12</v>
      </c>
      <c r="F116" s="29">
        <v>16</v>
      </c>
      <c r="G116" s="29">
        <v>49</v>
      </c>
      <c r="I116" s="33" t="str">
        <f t="shared" si="1"/>
        <v xml:space="preserve">Sigma do Oriente </v>
      </c>
      <c r="J116" s="29">
        <v>7</v>
      </c>
      <c r="K116" s="32">
        <f>50000+IF(L116="",20000,35000*(VLOOKUP(L116,Jockey!$A$2:$J$113,10,FALSE)/100)^0.7)*(D116/LARGE($D$2:$D$126,1))^0.8*(E116/LARGE($E$2:$E$126,1))^0.1*(F116/LARGE($F$2:$F$126,1))^0.6*(G116/LARGE($G$2:$G$126,1))^0.35*(1+(LARGE($J$2:$J$126,1)-J116)/LARGE($J$2:$J$126,1))^0.105</f>
        <v>75866.674388559404</v>
      </c>
      <c r="L116" s="33" t="str">
        <f>IFERROR(VLOOKUP(A116,Selecionados!$D$2:$E$101,2,FALSE),"")</f>
        <v>Leucipo de Abdera</v>
      </c>
      <c r="M116" s="32">
        <f>K116*(Selecionados!$Q$4/100)</f>
        <v>2518.7735897001648</v>
      </c>
      <c r="N116" s="32">
        <f>K116*Selecionados!$I$4+(Selecionados!$N$5/100)*K116*Selecionados!$N$4+(Selecionados!$J$5/100)*K116*Selecionados!$J$4</f>
        <v>81302.366584536838</v>
      </c>
    </row>
    <row r="117" spans="1:14" x14ac:dyDescent="0.25">
      <c r="A117" t="s">
        <v>584</v>
      </c>
      <c r="B117" t="s">
        <v>164</v>
      </c>
      <c r="C117" s="29">
        <v>2</v>
      </c>
      <c r="D117" s="29">
        <v>9</v>
      </c>
      <c r="E117" s="29">
        <v>12</v>
      </c>
      <c r="F117" s="29">
        <v>14</v>
      </c>
      <c r="G117" s="29">
        <v>41</v>
      </c>
      <c r="I117" s="33" t="str">
        <f t="shared" si="1"/>
        <v xml:space="preserve">ዴልታ </v>
      </c>
      <c r="J117" s="29">
        <v>13</v>
      </c>
      <c r="K117" s="32">
        <f>50000+IF(L117="",20000,35000*(VLOOKUP(L117,Jockey!$A$2:$J$113,10,FALSE)/100)^0.7)*(D117/LARGE($D$2:$D$126,1))^0.8*(E117/LARGE($E$2:$E$126,1))^0.1*(F117/LARGE($F$2:$F$126,1))^0.6*(G117/LARGE($G$2:$G$126,1))^0.35*(1+(LARGE($J$2:$J$126,1)-J117)/LARGE($J$2:$J$126,1))^0.105</f>
        <v>57808.501154343227</v>
      </c>
      <c r="L117" s="33" t="str">
        <f>IFERROR(VLOOKUP(A117,Selecionados!$D$2:$E$101,2,FALSE),"")</f>
        <v/>
      </c>
      <c r="M117" s="32">
        <f>K117*(Selecionados!$Q$4/100)</f>
        <v>1919.2422383241894</v>
      </c>
      <c r="N117" s="32">
        <f>K117*Selecionados!$I$4+(Selecionados!$N$5/100)*K117*Selecionados!$N$4+(Selecionados!$J$5/100)*K117*Selecionados!$J$4</f>
        <v>61950.362137684308</v>
      </c>
    </row>
    <row r="118" spans="1:14" x14ac:dyDescent="0.25">
      <c r="A118" t="s">
        <v>572</v>
      </c>
      <c r="B118" t="s">
        <v>165</v>
      </c>
      <c r="C118" s="29">
        <v>2</v>
      </c>
      <c r="D118" s="29">
        <v>18</v>
      </c>
      <c r="E118" s="29">
        <v>15</v>
      </c>
      <c r="F118" s="29">
        <v>15</v>
      </c>
      <c r="G118" s="29">
        <v>61</v>
      </c>
      <c r="I118" s="33" t="str">
        <f t="shared" si="1"/>
        <v xml:space="preserve">Omïkron </v>
      </c>
      <c r="J118" s="29">
        <v>14</v>
      </c>
      <c r="K118" s="32">
        <f>50000+IF(L118="",20000,35000*(VLOOKUP(L118,Jockey!$A$2:$J$113,10,FALSE)/100)^0.7)*(D118/LARGE($D$2:$D$126,1))^0.8*(E118/LARGE($E$2:$E$126,1))^0.1*(F118/LARGE($F$2:$F$126,1))^0.6*(G118/LARGE($G$2:$G$126,1))^0.35*(1+(LARGE($J$2:$J$126,1)-J118)/LARGE($J$2:$J$126,1))^0.105</f>
        <v>78929.678902051062</v>
      </c>
      <c r="L118" s="33" t="str">
        <f>IFERROR(VLOOKUP(A118,Selecionados!$D$2:$E$101,2,FALSE),"")</f>
        <v>Nikolai M. Kischner</v>
      </c>
      <c r="M118" s="32">
        <f>K118*(Selecionados!$Q$4/100)</f>
        <v>2620.4653395480877</v>
      </c>
      <c r="N118" s="32">
        <f>K118*Selecionados!$I$4+(Selecionados!$N$5/100)*K118*Selecionados!$N$4+(Selecionados!$J$5/100)*K118*Selecionados!$J$4</f>
        <v>84584.829112557491</v>
      </c>
    </row>
    <row r="119" spans="1:14" x14ac:dyDescent="0.25">
      <c r="A119" s="35" t="s">
        <v>585</v>
      </c>
      <c r="B119" t="s">
        <v>161</v>
      </c>
      <c r="C119" s="29">
        <v>2</v>
      </c>
      <c r="D119" s="29">
        <v>13</v>
      </c>
      <c r="E119" s="29">
        <v>15</v>
      </c>
      <c r="F119" s="29">
        <v>10</v>
      </c>
      <c r="G119" s="29">
        <v>34</v>
      </c>
      <c r="I119" s="33" t="str">
        <f t="shared" si="1"/>
        <v xml:space="preserve">Ω </v>
      </c>
      <c r="J119" s="29">
        <v>8</v>
      </c>
      <c r="K119" s="32">
        <f>50000+IF(L119="",20000,35000*(VLOOKUP(L119,Jockey!$A$2:$J$113,10,FALSE)/100)^0.7)*(D119/LARGE($D$2:$D$126,1))^0.8*(E119/LARGE($E$2:$E$126,1))^0.1*(F119/LARGE($F$2:$F$126,1))^0.6*(G119/LARGE($G$2:$G$126,1))^0.35*(1+(LARGE($J$2:$J$126,1)-J119)/LARGE($J$2:$J$126,1))^0.105</f>
        <v>64792.528686821577</v>
      </c>
      <c r="L119" s="33" t="str">
        <f>IFERROR(VLOOKUP(A119,Selecionados!$D$2:$E$101,2,FALSE),"")</f>
        <v>Michael Faraday</v>
      </c>
      <c r="M119" s="32">
        <f>K119*(Selecionados!$Q$4/100)</f>
        <v>2151.1119524024703</v>
      </c>
      <c r="N119" s="32">
        <f>K119*Selecionados!$I$4+(Selecionados!$N$5/100)*K119*Selecionados!$N$4+(Selecionados!$J$5/100)*K119*Selecionados!$J$4</f>
        <v>69434.780971886939</v>
      </c>
    </row>
    <row r="120" spans="1:14" x14ac:dyDescent="0.25">
      <c r="A120" t="s">
        <v>586</v>
      </c>
      <c r="B120" t="s">
        <v>166</v>
      </c>
      <c r="C120" s="29">
        <v>1</v>
      </c>
      <c r="D120" s="29">
        <v>13</v>
      </c>
      <c r="E120" s="29">
        <v>15</v>
      </c>
      <c r="F120" s="29">
        <v>11</v>
      </c>
      <c r="G120" s="29">
        <v>42</v>
      </c>
      <c r="I120" s="33" t="str">
        <f t="shared" si="1"/>
        <v xml:space="preserve">ቲት </v>
      </c>
      <c r="J120" s="29">
        <v>8</v>
      </c>
      <c r="K120" s="32">
        <f>50000+IF(L120="",20000,35000*(VLOOKUP(L120,Jockey!$A$2:$J$113,10,FALSE)/100)^0.7)*(D120/LARGE($D$2:$D$126,1))^0.8*(E120/LARGE($E$2:$E$126,1))^0.1*(F120/LARGE($F$2:$F$126,1))^0.6*(G120/LARGE($G$2:$G$126,1))^0.35*(1+(LARGE($J$2:$J$126,1)-J120)/LARGE($J$2:$J$126,1))^0.105</f>
        <v>59637.393975454012</v>
      </c>
      <c r="L120" s="33" t="str">
        <f>IFERROR(VLOOKUP(A120,Selecionados!$D$2:$E$101,2,FALSE),"")</f>
        <v/>
      </c>
      <c r="M120" s="32">
        <f>K120*(Selecionados!$Q$4/100)</f>
        <v>1979.9614799850674</v>
      </c>
      <c r="N120" s="32">
        <f>K120*Selecionados!$I$4+(Selecionados!$N$5/100)*K120*Selecionados!$N$4+(Selecionados!$J$5/100)*K120*Selecionados!$J$4</f>
        <v>63910.291392316285</v>
      </c>
    </row>
    <row r="121" spans="1:14" x14ac:dyDescent="0.25">
      <c r="A121" t="s">
        <v>154</v>
      </c>
      <c r="B121" t="s">
        <v>162</v>
      </c>
      <c r="C121" s="29">
        <v>1</v>
      </c>
      <c r="D121" s="29">
        <v>13</v>
      </c>
      <c r="E121" s="29">
        <v>18</v>
      </c>
      <c r="F121" s="29">
        <v>13</v>
      </c>
      <c r="G121" s="29">
        <v>41</v>
      </c>
      <c r="I121" s="33" t="str">
        <f t="shared" si="1"/>
        <v xml:space="preserve">Pi </v>
      </c>
      <c r="J121" s="29">
        <v>12</v>
      </c>
      <c r="K121" s="32">
        <f>50000+IF(L121="",20000,35000*(VLOOKUP(L121,Jockey!$A$2:$J$113,10,FALSE)/100)^0.7)*(D121/LARGE($D$2:$D$126,1))^0.8*(E121/LARGE($E$2:$E$126,1))^0.1*(F121/LARGE($F$2:$F$126,1))^0.6*(G121/LARGE($G$2:$G$126,1))^0.35*(1+(LARGE($J$2:$J$126,1)-J121)/LARGE($J$2:$J$126,1))^0.105</f>
        <v>68391.10117899446</v>
      </c>
      <c r="L121" s="33" t="str">
        <f>IFERROR(VLOOKUP(A121,Selecionados!$D$2:$E$101,2,FALSE),"")</f>
        <v>René Descartes</v>
      </c>
      <c r="M121" s="32">
        <f>K121*(Selecionados!$Q$4/100)</f>
        <v>2270.5845591426096</v>
      </c>
      <c r="N121" s="32">
        <f>K121*Selecionados!$I$4+(Selecionados!$N$5/100)*K121*Selecionados!$N$4+(Selecionados!$J$5/100)*K121*Selecionados!$J$4</f>
        <v>73291.183829895846</v>
      </c>
    </row>
    <row r="122" spans="1:14" x14ac:dyDescent="0.25">
      <c r="A122" t="s">
        <v>155</v>
      </c>
      <c r="B122" t="s">
        <v>161</v>
      </c>
      <c r="C122" s="29">
        <v>1</v>
      </c>
      <c r="D122" s="29">
        <v>17</v>
      </c>
      <c r="E122" s="29">
        <v>15</v>
      </c>
      <c r="F122" s="29">
        <v>13</v>
      </c>
      <c r="G122" s="29">
        <v>52</v>
      </c>
      <c r="I122" s="33" t="str">
        <f t="shared" si="1"/>
        <v xml:space="preserve">Phi </v>
      </c>
      <c r="J122" s="29">
        <v>7</v>
      </c>
      <c r="K122" s="32">
        <f>50000+IF(L122="",20000,35000*(VLOOKUP(L122,Jockey!$A$2:$J$113,10,FALSE)/100)^0.7)*(D122/LARGE($D$2:$D$126,1))^0.8*(E122/LARGE($E$2:$E$126,1))^0.1*(F122/LARGE($F$2:$F$126,1))^0.6*(G122/LARGE($G$2:$G$126,1))^0.35*(1+(LARGE($J$2:$J$126,1)-J122)/LARGE($J$2:$J$126,1))^0.105</f>
        <v>75027.721434756619</v>
      </c>
      <c r="L122" s="33" t="str">
        <f>IFERROR(VLOOKUP(A122,Selecionados!$D$2:$E$101,2,FALSE),"")</f>
        <v>Humphry Davy</v>
      </c>
      <c r="M122" s="32">
        <f>K122*(Selecionados!$Q$4/100)</f>
        <v>2490.9203516339126</v>
      </c>
      <c r="N122" s="32">
        <f>K122*Selecionados!$I$4+(Selecionados!$N$5/100)*K122*Selecionados!$N$4+(Selecionados!$J$5/100)*K122*Selecionados!$J$4</f>
        <v>80403.304365888442</v>
      </c>
    </row>
    <row r="123" spans="1:14" x14ac:dyDescent="0.25">
      <c r="A123" t="s">
        <v>156</v>
      </c>
      <c r="B123" t="s">
        <v>33</v>
      </c>
      <c r="C123" s="29">
        <v>1</v>
      </c>
      <c r="D123" s="29">
        <v>12</v>
      </c>
      <c r="E123" s="29">
        <v>12</v>
      </c>
      <c r="F123" s="29">
        <v>17</v>
      </c>
      <c r="G123" s="29">
        <v>58</v>
      </c>
      <c r="I123" s="33" t="str">
        <f t="shared" si="1"/>
        <v xml:space="preserve">Euler </v>
      </c>
      <c r="J123" s="29">
        <v>13</v>
      </c>
      <c r="K123" s="32">
        <f>50000+IF(L123="",20000,35000*(VLOOKUP(L123,Jockey!$A$2:$J$113,10,FALSE)/100)^0.7)*(D123/LARGE($D$2:$D$126,1))^0.8*(E123/LARGE($E$2:$E$126,1))^0.1*(F123/LARGE($F$2:$F$126,1))^0.6*(G123/LARGE($G$2:$G$126,1))^0.35*(1+(LARGE($J$2:$J$126,1)-J123)/LARGE($J$2:$J$126,1))^0.105</f>
        <v>62469.144201497882</v>
      </c>
      <c r="L123" s="33" t="str">
        <f>IFERROR(VLOOKUP(A123,Selecionados!$D$2:$E$101,2,FALSE),"")</f>
        <v/>
      </c>
      <c r="M123" s="32">
        <f>K123*(Selecionados!$Q$4/100)</f>
        <v>2073.9755874897237</v>
      </c>
      <c r="N123" s="32">
        <f>K123*Selecionados!$I$4+(Selecionados!$N$5/100)*K123*Selecionados!$N$4+(Selecionados!$J$5/100)*K123*Selecionados!$J$4</f>
        <v>66944.930735732429</v>
      </c>
    </row>
    <row r="124" spans="1:14" x14ac:dyDescent="0.25">
      <c r="A124" t="s">
        <v>157</v>
      </c>
      <c r="B124" t="s">
        <v>33</v>
      </c>
      <c r="C124" s="29">
        <v>2</v>
      </c>
      <c r="D124" s="29">
        <v>13</v>
      </c>
      <c r="E124" s="29">
        <v>12</v>
      </c>
      <c r="F124" s="29">
        <v>18</v>
      </c>
      <c r="G124" s="29">
        <v>58</v>
      </c>
      <c r="I124" s="33" t="str">
        <f t="shared" si="1"/>
        <v xml:space="preserve">Nepher </v>
      </c>
      <c r="J124" s="29">
        <v>14</v>
      </c>
      <c r="K124" s="32">
        <f>50000+IF(L124="",20000,35000*(VLOOKUP(L124,Jockey!$A$2:$J$113,10,FALSE)/100)^0.7)*(D124/LARGE($D$2:$D$126,1))^0.8*(E124/LARGE($E$2:$E$126,1))^0.1*(F124/LARGE($F$2:$F$126,1))^0.6*(G124/LARGE($G$2:$G$126,1))^0.35*(1+(LARGE($J$2:$J$126,1)-J124)/LARGE($J$2:$J$126,1))^0.105</f>
        <v>73901.898229695827</v>
      </c>
      <c r="L124" s="33" t="str">
        <f>IFERROR(VLOOKUP(A124,Selecionados!$D$2:$E$101,2,FALSE),"")</f>
        <v>Karl W. T. Weierstraß</v>
      </c>
      <c r="M124" s="32">
        <f>K124*(Selecionados!$Q$4/100)</f>
        <v>2453.5430212258943</v>
      </c>
      <c r="N124" s="32">
        <f>K124*Selecionados!$I$4+(Selecionados!$N$5/100)*K124*Selecionados!$N$4+(Selecionados!$J$5/100)*K124*Selecionados!$J$4</f>
        <v>79196.818228662523</v>
      </c>
    </row>
    <row r="125" spans="1:14" x14ac:dyDescent="0.25">
      <c r="A125" t="s">
        <v>158</v>
      </c>
      <c r="B125" t="s">
        <v>33</v>
      </c>
      <c r="C125" s="29">
        <v>2</v>
      </c>
      <c r="D125" s="29">
        <v>13</v>
      </c>
      <c r="E125" s="29">
        <v>14</v>
      </c>
      <c r="F125" s="29">
        <v>12</v>
      </c>
      <c r="G125" s="29">
        <v>36</v>
      </c>
      <c r="I125" s="33" t="str">
        <f t="shared" si="1"/>
        <v xml:space="preserve">Oxyde </v>
      </c>
      <c r="J125" s="29">
        <v>9</v>
      </c>
      <c r="K125" s="32">
        <f>50000+IF(L125="",20000,35000*(VLOOKUP(L125,Jockey!$A$2:$J$113,10,FALSE)/100)^0.7)*(D125/LARGE($D$2:$D$126,1))^0.8*(E125/LARGE($E$2:$E$126,1))^0.1*(F125/LARGE($F$2:$F$126,1))^0.6*(G125/LARGE($G$2:$G$126,1))^0.35*(1+(LARGE($J$2:$J$126,1)-J125)/LARGE($J$2:$J$126,1))^0.105</f>
        <v>66630.452965867997</v>
      </c>
      <c r="L125" s="33" t="str">
        <f>IFERROR(VLOOKUP(A125,Selecionados!$D$2:$E$101,2,FALSE),"")</f>
        <v>Platão de Atenas</v>
      </c>
      <c r="M125" s="32">
        <f>K125*(Selecionados!$Q$4/100)</f>
        <v>2212.1310384668109</v>
      </c>
      <c r="N125" s="32">
        <f>K125*Selecionados!$I$4+(Selecionados!$N$5/100)*K125*Selecionados!$N$4+(Selecionados!$J$5/100)*K125*Selecionados!$J$4</f>
        <v>71404.38876996102</v>
      </c>
    </row>
    <row r="126" spans="1:14" x14ac:dyDescent="0.25">
      <c r="A126" t="s">
        <v>606</v>
      </c>
      <c r="B126" t="s">
        <v>166</v>
      </c>
      <c r="C126" s="29">
        <v>1</v>
      </c>
      <c r="D126" s="29">
        <v>16</v>
      </c>
      <c r="E126" s="29">
        <v>15</v>
      </c>
      <c r="F126" s="29">
        <v>18</v>
      </c>
      <c r="G126" s="29">
        <v>66</v>
      </c>
      <c r="I126" s="33" t="str">
        <f t="shared" si="1"/>
        <v xml:space="preserve">Q. bin Hamid حامض </v>
      </c>
      <c r="J126" s="29">
        <v>12</v>
      </c>
      <c r="K126" s="32">
        <f>50000+IF(L126="",20000,35000*(VLOOKUP(L126,Jockey!$A$2:$J$113,10,FALSE)/100)^0.7)*(D126/LARGE($D$2:$D$126,1))^0.8*(E126/LARGE($E$2:$E$126,1))^0.1*(F126/LARGE($F$2:$F$126,1))^0.6*(G126/LARGE($G$2:$G$126,1))^0.35*(1+(LARGE($J$2:$J$126,1)-J126)/LARGE($J$2:$J$126,1))^0.105</f>
        <v>80619.241814959445</v>
      </c>
      <c r="L126" s="33" t="str">
        <f>IFERROR(VLOOKUP(A126,Selecionados!$D$2:$E$101,2,FALSE),"")</f>
        <v>Knut Emil Lundmark</v>
      </c>
      <c r="M126" s="32">
        <f>K126*(Selecionados!$Q$4/100)</f>
        <v>2676.5588282566459</v>
      </c>
      <c r="N126" s="32">
        <f>K126*Selecionados!$I$4+(Selecionados!$N$5/100)*K126*Selecionados!$N$4+(Selecionados!$J$5/100)*K126*Selecionados!$J$4</f>
        <v>86395.445755767418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Jockey!$A$2:$A$113</xm:f>
          </x14:formula1>
          <xm:sqref>L2:L126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18"/>
  <sheetViews>
    <sheetView workbookViewId="0">
      <selection activeCell="D17" sqref="D17"/>
    </sheetView>
  </sheetViews>
  <sheetFormatPr defaultRowHeight="15" x14ac:dyDescent="0.25"/>
  <cols>
    <col min="1" max="1" width="13" customWidth="1"/>
    <col min="2" max="2" width="17" customWidth="1"/>
    <col min="3" max="3" width="17.85546875" bestFit="1" customWidth="1"/>
    <col min="4" max="4" width="13.5703125" customWidth="1"/>
  </cols>
  <sheetData>
    <row r="1" spans="1:3" ht="32.25" customHeight="1" x14ac:dyDescent="0.25">
      <c r="A1" t="s">
        <v>167</v>
      </c>
      <c r="B1" s="3" t="s">
        <v>168</v>
      </c>
      <c r="C1" s="2" t="s">
        <v>170</v>
      </c>
    </row>
    <row r="2" spans="1:3" x14ac:dyDescent="0.25">
      <c r="A2" t="s">
        <v>159</v>
      </c>
      <c r="B2" s="5">
        <v>10.15</v>
      </c>
      <c r="C2" s="7">
        <f>B2*125/SUM($B$2:$B$11)</f>
        <v>31.442210258390659</v>
      </c>
    </row>
    <row r="3" spans="1:3" x14ac:dyDescent="0.25">
      <c r="A3" t="s">
        <v>160</v>
      </c>
      <c r="B3" s="5">
        <v>6.7731450000000004</v>
      </c>
      <c r="C3" s="7">
        <f t="shared" ref="C3:C11" si="0">B3*125/SUM($B$2:$B$11)</f>
        <v>20.981541793159352</v>
      </c>
    </row>
    <row r="4" spans="1:3" x14ac:dyDescent="0.25">
      <c r="A4" t="s">
        <v>161</v>
      </c>
      <c r="B4" s="5">
        <v>6.5330000000000004</v>
      </c>
      <c r="C4" s="7">
        <f t="shared" si="0"/>
        <v>20.237631489464647</v>
      </c>
    </row>
    <row r="5" spans="1:3" x14ac:dyDescent="0.25">
      <c r="A5" t="s">
        <v>18</v>
      </c>
      <c r="B5" s="5">
        <v>5.5106010000000003</v>
      </c>
      <c r="C5" s="7">
        <f t="shared" si="0"/>
        <v>17.070490176561364</v>
      </c>
    </row>
    <row r="6" spans="1:3" x14ac:dyDescent="0.25">
      <c r="A6" t="s">
        <v>162</v>
      </c>
      <c r="B6" s="5">
        <v>3.59</v>
      </c>
      <c r="C6" s="7">
        <f t="shared" si="0"/>
        <v>11.120939391883987</v>
      </c>
    </row>
    <row r="7" spans="1:3" x14ac:dyDescent="0.25">
      <c r="A7" t="s">
        <v>163</v>
      </c>
      <c r="B7" s="5">
        <v>2.112927</v>
      </c>
      <c r="C7" s="7">
        <f t="shared" si="0"/>
        <v>6.5453295561212412</v>
      </c>
    </row>
    <row r="8" spans="1:3" x14ac:dyDescent="0.25">
      <c r="A8" t="s">
        <v>164</v>
      </c>
      <c r="B8" s="5">
        <v>2.0282330000000002</v>
      </c>
      <c r="C8" s="7">
        <f t="shared" si="0"/>
        <v>6.2829683191139374</v>
      </c>
    </row>
    <row r="9" spans="1:3" x14ac:dyDescent="0.25">
      <c r="A9" t="s">
        <v>165</v>
      </c>
      <c r="B9" s="5">
        <v>1.5283</v>
      </c>
      <c r="C9" s="7">
        <f t="shared" si="0"/>
        <v>4.7342985160491073</v>
      </c>
    </row>
    <row r="10" spans="1:3" x14ac:dyDescent="0.25">
      <c r="A10" t="s">
        <v>84</v>
      </c>
      <c r="B10" s="5">
        <v>1.3406009999999999</v>
      </c>
      <c r="C10" s="7">
        <f t="shared" si="0"/>
        <v>4.1528530556264798</v>
      </c>
    </row>
    <row r="11" spans="1:3" x14ac:dyDescent="0.25">
      <c r="A11" t="s">
        <v>166</v>
      </c>
      <c r="B11" s="5">
        <v>0.78500000000000003</v>
      </c>
      <c r="C11" s="7">
        <f t="shared" si="0"/>
        <v>2.4317374436292281</v>
      </c>
    </row>
    <row r="12" spans="1:3" x14ac:dyDescent="0.25">
      <c r="A12" t="s">
        <v>169</v>
      </c>
      <c r="B12" s="5">
        <f>SUM(B2:B11)</f>
        <v>40.351807000000001</v>
      </c>
      <c r="C12" s="6">
        <v>100</v>
      </c>
    </row>
    <row r="18" spans="5:5" x14ac:dyDescent="0.25">
      <c r="E18">
        <v>18000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P1642"/>
  <sheetViews>
    <sheetView topLeftCell="B1" workbookViewId="0">
      <selection activeCell="O14" sqref="O14"/>
    </sheetView>
  </sheetViews>
  <sheetFormatPr defaultRowHeight="15" x14ac:dyDescent="0.25"/>
  <cols>
    <col min="2" max="2" width="15.5703125" customWidth="1"/>
    <col min="3" max="3" width="20" customWidth="1"/>
    <col min="4" max="4" width="12.140625" bestFit="1" customWidth="1"/>
    <col min="5" max="6" width="13.5703125" bestFit="1" customWidth="1"/>
    <col min="7" max="8" width="12.140625" bestFit="1" customWidth="1"/>
    <col min="9" max="9" width="11.28515625" bestFit="1" customWidth="1"/>
    <col min="12" max="13" width="10.7109375" bestFit="1" customWidth="1"/>
  </cols>
  <sheetData>
    <row r="1" spans="1:16" x14ac:dyDescent="0.25">
      <c r="B1" s="37" t="s">
        <v>612</v>
      </c>
      <c r="C1" s="37" t="s">
        <v>611</v>
      </c>
      <c r="D1" s="37" t="s">
        <v>613</v>
      </c>
      <c r="E1" s="37" t="s">
        <v>610</v>
      </c>
      <c r="F1" s="37" t="s">
        <v>609</v>
      </c>
      <c r="G1" s="37" t="s">
        <v>614</v>
      </c>
      <c r="H1" s="37" t="s">
        <v>465</v>
      </c>
      <c r="I1" s="37" t="s">
        <v>466</v>
      </c>
      <c r="J1" s="2" t="s">
        <v>467</v>
      </c>
      <c r="K1" t="s">
        <v>617</v>
      </c>
    </row>
    <row r="2" spans="1:16" ht="30" customHeight="1" x14ac:dyDescent="0.25">
      <c r="A2" t="s">
        <v>623</v>
      </c>
      <c r="B2" s="37"/>
      <c r="C2" s="37"/>
      <c r="D2" s="37"/>
      <c r="E2" s="37"/>
      <c r="F2" s="37"/>
      <c r="G2" s="37"/>
      <c r="H2" s="37"/>
      <c r="I2" s="37"/>
      <c r="J2" s="2" t="s">
        <v>468</v>
      </c>
      <c r="L2" t="s">
        <v>625</v>
      </c>
      <c r="M2" s="20" t="s">
        <v>624</v>
      </c>
      <c r="O2" t="s">
        <v>626</v>
      </c>
      <c r="P2" t="s">
        <v>627</v>
      </c>
    </row>
    <row r="3" spans="1:16" x14ac:dyDescent="0.25">
      <c r="A3" s="44">
        <v>1</v>
      </c>
      <c r="B3" s="4">
        <v>0.92500000000000004</v>
      </c>
      <c r="C3" s="12">
        <v>16.398136000000001</v>
      </c>
      <c r="D3" s="12">
        <v>11.862638</v>
      </c>
      <c r="E3" s="12">
        <v>43.306021000000001</v>
      </c>
      <c r="F3" s="12">
        <v>37.538879999999999</v>
      </c>
      <c r="G3" s="12">
        <v>12.036621999999999</v>
      </c>
      <c r="H3" s="14">
        <v>12.036621999999999</v>
      </c>
      <c r="I3" s="14">
        <v>0.99003799999999997</v>
      </c>
      <c r="J3" s="19">
        <v>0</v>
      </c>
      <c r="K3" s="34" t="str">
        <f>CONCATENATE(IF(AND((A3/12-ROUNDDOWN(A3/12,0))*12&lt;10,A3&lt;&gt;12),"0",""),IF((A3/12-ROUNDDOWN(A3/12,0))*12=0,12,ROUND((A3/12-ROUNDDOWN(A3/12,0))*12,0)),"/",L3,M3)</f>
        <v>01/XX</v>
      </c>
      <c r="L3" s="34" t="str">
        <f>VLOOKUP(ROUNDDOWN(A3/120,0),$O$3:$P$12,2,FALSE)</f>
        <v>X</v>
      </c>
      <c r="M3" s="34" t="str">
        <f>VLOOKUP(ROUNDDOWN(A3/12,0)-ROUNDDOWN(A3/120,0)*10,$O$3:$P$12,2,FALSE)</f>
        <v>X</v>
      </c>
      <c r="N3" s="44">
        <f>A3</f>
        <v>1</v>
      </c>
      <c r="O3">
        <v>0</v>
      </c>
      <c r="P3" t="s">
        <v>633</v>
      </c>
    </row>
    <row r="4" spans="1:16" x14ac:dyDescent="0.25">
      <c r="A4" s="44">
        <v>2</v>
      </c>
      <c r="B4" s="4">
        <v>0.90600000000000003</v>
      </c>
      <c r="C4" s="14">
        <v>16.717898999999999</v>
      </c>
      <c r="D4" s="14">
        <v>12.330024999999999</v>
      </c>
      <c r="E4" s="14">
        <v>43.366649000000002</v>
      </c>
      <c r="F4" s="14">
        <v>38.792678000000002</v>
      </c>
      <c r="G4" s="14">
        <v>12.693821</v>
      </c>
      <c r="H4" s="14">
        <v>12.693821</v>
      </c>
      <c r="I4" s="14">
        <v>1.039539</v>
      </c>
      <c r="J4" s="19">
        <v>0</v>
      </c>
      <c r="K4" s="34" t="str">
        <f t="shared" ref="K4:K67" si="0">CONCATENATE(IF(AND((A4/12-ROUNDDOWN(A4/12,0))*12&lt;10,A4&lt;&gt;12),"0",""),IF((A4/12-ROUNDDOWN(A4/12,0))*12=0,12,ROUND((A4/12-ROUNDDOWN(A4/12,0))*12,0)),"/",L4,M4)</f>
        <v>02/XX</v>
      </c>
      <c r="L4" s="34" t="str">
        <f t="shared" ref="L4:L67" si="1">VLOOKUP(ROUNDDOWN(A4/120,0),$O$3:$P$12,2,FALSE)</f>
        <v>X</v>
      </c>
      <c r="M4" s="34" t="str">
        <f t="shared" ref="M4:M67" si="2">VLOOKUP(ROUNDDOWN(A4/12,0)-ROUNDDOWN(A4/120,0)*10,$O$3:$P$12,2,FALSE)</f>
        <v>X</v>
      </c>
      <c r="N4" s="44">
        <f t="shared" ref="N4:N67" si="3">A4</f>
        <v>2</v>
      </c>
      <c r="O4">
        <v>1</v>
      </c>
      <c r="P4" t="s">
        <v>646</v>
      </c>
    </row>
    <row r="5" spans="1:16" x14ac:dyDescent="0.25">
      <c r="A5" s="44">
        <v>3</v>
      </c>
      <c r="B5" s="4">
        <v>0.85499999999999998</v>
      </c>
      <c r="C5" s="14">
        <v>16.854984999999999</v>
      </c>
      <c r="D5" s="14">
        <v>12.5458</v>
      </c>
      <c r="E5" s="14">
        <v>43.531441999999998</v>
      </c>
      <c r="F5" s="14">
        <v>39.393963999999997</v>
      </c>
      <c r="G5" s="14">
        <v>12.885497000000001</v>
      </c>
      <c r="H5" s="14">
        <v>12.885497000000001</v>
      </c>
      <c r="I5" s="14">
        <v>1.0564830000000001</v>
      </c>
      <c r="J5" s="19">
        <v>0</v>
      </c>
      <c r="K5" s="34" t="str">
        <f t="shared" si="0"/>
        <v>03/XX</v>
      </c>
      <c r="L5" s="34" t="str">
        <f t="shared" si="1"/>
        <v>X</v>
      </c>
      <c r="M5" s="34" t="str">
        <f t="shared" si="2"/>
        <v>X</v>
      </c>
      <c r="N5" s="44">
        <f t="shared" si="3"/>
        <v>3</v>
      </c>
      <c r="O5">
        <v>2</v>
      </c>
      <c r="P5" t="s">
        <v>629</v>
      </c>
    </row>
    <row r="6" spans="1:16" x14ac:dyDescent="0.25">
      <c r="A6" s="44">
        <v>4</v>
      </c>
      <c r="B6" s="4">
        <v>0.83499999999999996</v>
      </c>
      <c r="C6" s="14">
        <v>17.389288000000001</v>
      </c>
      <c r="D6" s="14">
        <v>12.774133000000001</v>
      </c>
      <c r="E6" s="14">
        <v>44.106057</v>
      </c>
      <c r="F6" s="14">
        <v>40.398510000000002</v>
      </c>
      <c r="G6" s="14">
        <v>13.125166999999999</v>
      </c>
      <c r="H6" s="14">
        <v>13.125166999999999</v>
      </c>
      <c r="I6" s="14">
        <v>1.0765560000000001</v>
      </c>
      <c r="J6" s="19">
        <v>0</v>
      </c>
      <c r="K6" s="34" t="str">
        <f t="shared" si="0"/>
        <v>04/XX</v>
      </c>
      <c r="L6" s="34" t="str">
        <f t="shared" si="1"/>
        <v>X</v>
      </c>
      <c r="M6" s="34" t="str">
        <f t="shared" si="2"/>
        <v>X</v>
      </c>
      <c r="N6" s="44">
        <f t="shared" si="3"/>
        <v>4</v>
      </c>
      <c r="O6">
        <v>3</v>
      </c>
      <c r="P6" t="s">
        <v>632</v>
      </c>
    </row>
    <row r="7" spans="1:16" x14ac:dyDescent="0.25">
      <c r="A7" s="44">
        <v>5</v>
      </c>
      <c r="B7" s="4">
        <v>0.83799999999999997</v>
      </c>
      <c r="C7" s="14">
        <v>17.914444</v>
      </c>
      <c r="D7" s="14">
        <v>13.138195</v>
      </c>
      <c r="E7" s="14">
        <v>45.146959000000003</v>
      </c>
      <c r="F7" s="14">
        <v>41.396352999999998</v>
      </c>
      <c r="G7" s="14">
        <v>13.554359</v>
      </c>
      <c r="H7" s="14">
        <v>13.554359</v>
      </c>
      <c r="I7" s="14">
        <v>1.108314</v>
      </c>
      <c r="J7" s="19">
        <v>0</v>
      </c>
      <c r="K7" s="34" t="str">
        <f t="shared" si="0"/>
        <v>05/XX</v>
      </c>
      <c r="L7" s="34" t="str">
        <f t="shared" si="1"/>
        <v>X</v>
      </c>
      <c r="M7" s="34" t="str">
        <f t="shared" si="2"/>
        <v>X</v>
      </c>
      <c r="N7" s="44">
        <f t="shared" si="3"/>
        <v>5</v>
      </c>
      <c r="O7">
        <v>4</v>
      </c>
      <c r="P7" t="s">
        <v>630</v>
      </c>
    </row>
    <row r="8" spans="1:16" x14ac:dyDescent="0.25">
      <c r="A8" s="44">
        <v>6</v>
      </c>
      <c r="B8" s="4">
        <v>0.85099999999999998</v>
      </c>
      <c r="C8" s="14">
        <v>18.138373999999999</v>
      </c>
      <c r="D8" s="14">
        <v>13.248555</v>
      </c>
      <c r="E8" s="14">
        <v>45.742897999999997</v>
      </c>
      <c r="F8" s="14">
        <v>41.632311999999999</v>
      </c>
      <c r="G8" s="14">
        <v>13.851198999999999</v>
      </c>
      <c r="H8" s="12">
        <v>13.851198999999999</v>
      </c>
      <c r="I8" s="12">
        <v>1.133251</v>
      </c>
      <c r="J8" s="19">
        <v>0</v>
      </c>
      <c r="K8" s="34" t="str">
        <f t="shared" si="0"/>
        <v>06/XX</v>
      </c>
      <c r="L8" s="34" t="str">
        <f t="shared" si="1"/>
        <v>X</v>
      </c>
      <c r="M8" s="34" t="str">
        <f t="shared" si="2"/>
        <v>X</v>
      </c>
      <c r="N8" s="44">
        <f t="shared" si="3"/>
        <v>6</v>
      </c>
      <c r="O8">
        <v>5</v>
      </c>
      <c r="P8" t="s">
        <v>631</v>
      </c>
    </row>
    <row r="9" spans="1:16" x14ac:dyDescent="0.25">
      <c r="A9" s="44">
        <v>7</v>
      </c>
      <c r="B9" s="4">
        <v>0.84699999999999998</v>
      </c>
      <c r="C9" s="12">
        <v>18.283480000000001</v>
      </c>
      <c r="D9" s="12">
        <v>13.370441</v>
      </c>
      <c r="E9" s="12">
        <v>47.343899</v>
      </c>
      <c r="F9" s="12">
        <v>42.198511000000003</v>
      </c>
      <c r="G9" s="12">
        <v>14.082514</v>
      </c>
      <c r="H9" s="14">
        <v>14.082514</v>
      </c>
      <c r="I9" s="14">
        <v>1.1534219999999999</v>
      </c>
      <c r="J9" s="19">
        <v>0</v>
      </c>
      <c r="K9" s="34" t="str">
        <f t="shared" si="0"/>
        <v>07/XX</v>
      </c>
      <c r="L9" s="34" t="str">
        <f t="shared" si="1"/>
        <v>X</v>
      </c>
      <c r="M9" s="34" t="str">
        <f t="shared" si="2"/>
        <v>X</v>
      </c>
      <c r="N9" s="44">
        <f t="shared" si="3"/>
        <v>7</v>
      </c>
      <c r="O9">
        <v>6</v>
      </c>
      <c r="P9" t="s">
        <v>635</v>
      </c>
    </row>
    <row r="10" spans="1:16" x14ac:dyDescent="0.25">
      <c r="A10" s="44">
        <v>8</v>
      </c>
      <c r="B10" s="4">
        <v>0.83699999999999997</v>
      </c>
      <c r="C10" s="14">
        <v>18.524820999999999</v>
      </c>
      <c r="D10" s="14">
        <v>13.556290000000001</v>
      </c>
      <c r="E10" s="14">
        <v>48.333385999999997</v>
      </c>
      <c r="F10" s="14">
        <v>42.683793000000001</v>
      </c>
      <c r="G10" s="14">
        <v>14.22193</v>
      </c>
      <c r="H10" s="14">
        <v>14.22193</v>
      </c>
      <c r="I10" s="14">
        <v>1.1674929999999999</v>
      </c>
      <c r="J10" s="22">
        <v>3.63</v>
      </c>
      <c r="K10" s="34" t="str">
        <f t="shared" si="0"/>
        <v>08/XX</v>
      </c>
      <c r="L10" s="34" t="str">
        <f t="shared" si="1"/>
        <v>X</v>
      </c>
      <c r="M10" s="34" t="str">
        <f t="shared" si="2"/>
        <v>X</v>
      </c>
      <c r="N10" s="44">
        <f t="shared" si="3"/>
        <v>8</v>
      </c>
      <c r="O10">
        <v>7</v>
      </c>
      <c r="P10" t="s">
        <v>628</v>
      </c>
    </row>
    <row r="11" spans="1:16" x14ac:dyDescent="0.25">
      <c r="A11" s="44">
        <v>9</v>
      </c>
      <c r="B11" s="4">
        <v>0.88400000000000001</v>
      </c>
      <c r="C11" s="14">
        <v>18.880496999999998</v>
      </c>
      <c r="D11" s="14">
        <v>13.708119999999999</v>
      </c>
      <c r="E11" s="14">
        <v>49.928387000000001</v>
      </c>
      <c r="F11" s="14">
        <v>43.456369000000002</v>
      </c>
      <c r="G11" s="14">
        <v>14.422459</v>
      </c>
      <c r="H11" s="14">
        <v>14.422459</v>
      </c>
      <c r="I11" s="14">
        <v>1.182436</v>
      </c>
      <c r="J11" s="22">
        <v>2.6</v>
      </c>
      <c r="K11" s="34" t="str">
        <f t="shared" si="0"/>
        <v>09/XX</v>
      </c>
      <c r="L11" s="34" t="str">
        <f t="shared" si="1"/>
        <v>X</v>
      </c>
      <c r="M11" s="34" t="str">
        <f t="shared" si="2"/>
        <v>X</v>
      </c>
      <c r="N11" s="44">
        <f t="shared" si="3"/>
        <v>9</v>
      </c>
      <c r="O11">
        <v>8</v>
      </c>
      <c r="P11" t="s">
        <v>647</v>
      </c>
    </row>
    <row r="12" spans="1:16" x14ac:dyDescent="0.25">
      <c r="A12" s="44">
        <v>10</v>
      </c>
      <c r="B12" s="4">
        <v>0.90500000000000003</v>
      </c>
      <c r="C12" s="14">
        <v>19.378941999999999</v>
      </c>
      <c r="D12" s="14">
        <v>13.995990000000001</v>
      </c>
      <c r="E12" s="14">
        <v>51.076739000000003</v>
      </c>
      <c r="F12" s="14">
        <v>44.455865000000003</v>
      </c>
      <c r="G12" s="14">
        <v>14.69937</v>
      </c>
      <c r="H12" s="14">
        <v>14.69937</v>
      </c>
      <c r="I12" s="14">
        <v>1.2054929999999999</v>
      </c>
      <c r="J12" s="22">
        <v>4.26</v>
      </c>
      <c r="K12" s="34" t="str">
        <f t="shared" si="0"/>
        <v>10/XX</v>
      </c>
      <c r="L12" s="34" t="str">
        <f t="shared" si="1"/>
        <v>X</v>
      </c>
      <c r="M12" s="34" t="str">
        <f t="shared" si="2"/>
        <v>X</v>
      </c>
      <c r="N12" s="44">
        <f t="shared" si="3"/>
        <v>10</v>
      </c>
      <c r="O12">
        <v>9</v>
      </c>
      <c r="P12" t="s">
        <v>634</v>
      </c>
    </row>
    <row r="13" spans="1:16" x14ac:dyDescent="0.25">
      <c r="A13" s="44">
        <v>11</v>
      </c>
      <c r="B13" s="4">
        <v>0.89100000000000001</v>
      </c>
      <c r="C13" s="14">
        <v>19.760707</v>
      </c>
      <c r="D13" s="14">
        <v>14.077166</v>
      </c>
      <c r="E13" s="14">
        <v>55.556168999999997</v>
      </c>
      <c r="F13" s="14">
        <v>44.633687999999999</v>
      </c>
      <c r="G13" s="14">
        <v>15.077143</v>
      </c>
      <c r="H13" s="14">
        <v>15.077143</v>
      </c>
      <c r="I13" s="14">
        <v>1.238885</v>
      </c>
      <c r="J13" s="22">
        <v>4.25</v>
      </c>
      <c r="K13" s="34" t="str">
        <f t="shared" si="0"/>
        <v>11/XX</v>
      </c>
      <c r="L13" s="34" t="str">
        <f t="shared" si="1"/>
        <v>X</v>
      </c>
      <c r="M13" s="34" t="str">
        <f t="shared" si="2"/>
        <v>X</v>
      </c>
      <c r="N13" s="44">
        <f t="shared" si="3"/>
        <v>11</v>
      </c>
    </row>
    <row r="14" spans="1:16" x14ac:dyDescent="0.25">
      <c r="A14" s="44">
        <v>12</v>
      </c>
      <c r="B14" s="4">
        <v>0.90900000000000003</v>
      </c>
      <c r="C14" s="14">
        <v>20.286341</v>
      </c>
      <c r="D14" s="14">
        <v>14.423463999999999</v>
      </c>
      <c r="E14" s="14">
        <v>57.289521000000001</v>
      </c>
      <c r="F14" s="14">
        <v>45.803089999999997</v>
      </c>
      <c r="G14" s="14">
        <v>15.351547</v>
      </c>
      <c r="H14" s="14">
        <v>15.351547</v>
      </c>
      <c r="I14" s="14">
        <v>1.266759</v>
      </c>
      <c r="J14" s="22">
        <v>4.04</v>
      </c>
      <c r="K14" s="34" t="str">
        <f t="shared" si="0"/>
        <v>12/XY</v>
      </c>
      <c r="L14" s="34" t="str">
        <f t="shared" si="1"/>
        <v>X</v>
      </c>
      <c r="M14" s="34" t="str">
        <f t="shared" si="2"/>
        <v>Y</v>
      </c>
      <c r="N14" s="44">
        <f t="shared" si="3"/>
        <v>12</v>
      </c>
    </row>
    <row r="15" spans="1:16" x14ac:dyDescent="0.25">
      <c r="A15" s="44">
        <v>13</v>
      </c>
      <c r="B15" s="4">
        <v>0.92600000000000005</v>
      </c>
      <c r="C15" s="12">
        <v>21.040991999999999</v>
      </c>
      <c r="D15" s="12">
        <v>14.685971</v>
      </c>
      <c r="E15" s="12">
        <v>57.913975999999998</v>
      </c>
      <c r="F15" s="12">
        <v>46.829079</v>
      </c>
      <c r="G15" s="12">
        <v>15.729195000000001</v>
      </c>
      <c r="H15" s="14">
        <v>15.729195000000001</v>
      </c>
      <c r="I15" s="14">
        <v>1.2995680000000001</v>
      </c>
      <c r="J15" s="22">
        <v>4.0199999999999996</v>
      </c>
      <c r="K15" s="34" t="str">
        <f t="shared" si="0"/>
        <v>01/XY</v>
      </c>
      <c r="L15" s="34" t="str">
        <f t="shared" si="1"/>
        <v>X</v>
      </c>
      <c r="M15" s="34" t="str">
        <f t="shared" si="2"/>
        <v>Y</v>
      </c>
      <c r="N15" s="44">
        <f t="shared" si="3"/>
        <v>13</v>
      </c>
    </row>
    <row r="16" spans="1:16" x14ac:dyDescent="0.25">
      <c r="A16" s="44">
        <v>14</v>
      </c>
      <c r="B16" s="4">
        <v>0.94199999999999995</v>
      </c>
      <c r="C16" s="14">
        <v>21.341878000000001</v>
      </c>
      <c r="D16" s="14">
        <v>15.009062</v>
      </c>
      <c r="E16" s="14">
        <v>58.273041999999997</v>
      </c>
      <c r="F16" s="14">
        <v>47.433174000000001</v>
      </c>
      <c r="G16" s="14">
        <v>15.889632000000001</v>
      </c>
      <c r="H16" s="14">
        <v>15.889632000000001</v>
      </c>
      <c r="I16" s="14">
        <v>1.3189310000000001</v>
      </c>
      <c r="J16" s="22">
        <v>3.84</v>
      </c>
      <c r="K16" s="34" t="str">
        <f t="shared" si="0"/>
        <v>02/XY</v>
      </c>
      <c r="L16" s="34" t="str">
        <f t="shared" si="1"/>
        <v>X</v>
      </c>
      <c r="M16" s="34" t="str">
        <f t="shared" si="2"/>
        <v>Y</v>
      </c>
      <c r="N16" s="44">
        <f t="shared" si="3"/>
        <v>14</v>
      </c>
    </row>
    <row r="17" spans="1:14" x14ac:dyDescent="0.25">
      <c r="A17" s="44">
        <v>15</v>
      </c>
      <c r="B17" s="4">
        <v>0.95299999999999996</v>
      </c>
      <c r="C17" s="14">
        <v>21.499807000000001</v>
      </c>
      <c r="D17" s="14">
        <v>14.902497</v>
      </c>
      <c r="E17" s="14">
        <v>58.692607000000002</v>
      </c>
      <c r="F17" s="14">
        <v>46.920895000000002</v>
      </c>
      <c r="G17" s="14">
        <v>16.07554</v>
      </c>
      <c r="H17" s="14">
        <v>16.07554</v>
      </c>
      <c r="I17" s="14">
        <v>1.3317239999999999</v>
      </c>
      <c r="J17" s="22">
        <v>3.3199999999999901</v>
      </c>
      <c r="K17" s="34" t="str">
        <f t="shared" si="0"/>
        <v>03/XY</v>
      </c>
      <c r="L17" s="34" t="str">
        <f t="shared" si="1"/>
        <v>X</v>
      </c>
      <c r="M17" s="34" t="str">
        <f t="shared" si="2"/>
        <v>Y</v>
      </c>
      <c r="N17" s="44">
        <f t="shared" si="3"/>
        <v>15</v>
      </c>
    </row>
    <row r="18" spans="1:14" x14ac:dyDescent="0.25">
      <c r="A18" s="44">
        <v>16</v>
      </c>
      <c r="B18" s="4">
        <v>0.95799999999999996</v>
      </c>
      <c r="C18" s="14">
        <v>21.818003999999998</v>
      </c>
      <c r="D18" s="14">
        <v>14.979989</v>
      </c>
      <c r="E18" s="14">
        <v>59.197363000000003</v>
      </c>
      <c r="F18" s="14">
        <v>47.028813</v>
      </c>
      <c r="G18" s="14">
        <v>16.300597</v>
      </c>
      <c r="H18" s="14">
        <v>16.300597</v>
      </c>
      <c r="I18" s="14">
        <v>1.349569</v>
      </c>
      <c r="J18" s="22">
        <v>3.09</v>
      </c>
      <c r="K18" s="34" t="str">
        <f t="shared" si="0"/>
        <v>04/XY</v>
      </c>
      <c r="L18" s="34" t="str">
        <f t="shared" si="1"/>
        <v>X</v>
      </c>
      <c r="M18" s="34" t="str">
        <f t="shared" si="2"/>
        <v>Y</v>
      </c>
      <c r="N18" s="44">
        <f t="shared" si="3"/>
        <v>16</v>
      </c>
    </row>
    <row r="19" spans="1:14" x14ac:dyDescent="0.25">
      <c r="A19" s="44">
        <v>17</v>
      </c>
      <c r="B19" s="4">
        <v>0.9627</v>
      </c>
      <c r="C19" s="14">
        <v>22.073274000000001</v>
      </c>
      <c r="D19" s="14">
        <v>15.159748</v>
      </c>
      <c r="E19" s="14">
        <v>59.629503</v>
      </c>
      <c r="F19" s="14">
        <v>47.654296000000002</v>
      </c>
      <c r="G19" s="14">
        <v>16.546735999999999</v>
      </c>
      <c r="H19" s="14">
        <v>16.546735999999999</v>
      </c>
      <c r="I19" s="14">
        <v>1.367923</v>
      </c>
      <c r="J19" s="22">
        <v>2.88</v>
      </c>
      <c r="K19" s="34" t="str">
        <f t="shared" si="0"/>
        <v>05/XY</v>
      </c>
      <c r="L19" s="34" t="str">
        <f t="shared" si="1"/>
        <v>X</v>
      </c>
      <c r="M19" s="34" t="str">
        <f t="shared" si="2"/>
        <v>Y</v>
      </c>
      <c r="N19" s="44">
        <f t="shared" si="3"/>
        <v>17</v>
      </c>
    </row>
    <row r="20" spans="1:14" x14ac:dyDescent="0.25">
      <c r="A20" s="44">
        <v>18</v>
      </c>
      <c r="B20" s="4">
        <v>0.9677</v>
      </c>
      <c r="C20" s="14">
        <v>22.34036</v>
      </c>
      <c r="D20" s="14">
        <v>15.267382</v>
      </c>
      <c r="E20" s="14">
        <v>60.142316000000001</v>
      </c>
      <c r="F20" s="14">
        <v>47.782961999999998</v>
      </c>
      <c r="G20" s="14">
        <v>16.819756999999999</v>
      </c>
      <c r="H20" s="14">
        <v>16.819756999999999</v>
      </c>
      <c r="I20" s="14">
        <v>1.387894</v>
      </c>
      <c r="J20" s="22">
        <v>2.78</v>
      </c>
      <c r="K20" s="34" t="str">
        <f t="shared" si="0"/>
        <v>06/XY</v>
      </c>
      <c r="L20" s="34" t="str">
        <f t="shared" si="1"/>
        <v>X</v>
      </c>
      <c r="M20" s="34" t="str">
        <f t="shared" si="2"/>
        <v>Y</v>
      </c>
      <c r="N20" s="44">
        <f t="shared" si="3"/>
        <v>18</v>
      </c>
    </row>
    <row r="21" spans="1:14" x14ac:dyDescent="0.25">
      <c r="A21" s="44">
        <v>19</v>
      </c>
      <c r="B21" s="4">
        <v>0.97826999999999997</v>
      </c>
      <c r="C21" s="14">
        <v>22.746953999999999</v>
      </c>
      <c r="D21" s="14">
        <v>15.531507</v>
      </c>
      <c r="E21" s="14">
        <v>61.056479000000003</v>
      </c>
      <c r="F21" s="14">
        <v>48.638277000000002</v>
      </c>
      <c r="G21" s="14">
        <v>17.065325000000001</v>
      </c>
      <c r="H21" s="14">
        <v>17.065325000000001</v>
      </c>
      <c r="I21" s="14">
        <v>1.4105160000000001</v>
      </c>
      <c r="J21" s="22">
        <v>2.58</v>
      </c>
      <c r="K21" s="34" t="str">
        <f t="shared" si="0"/>
        <v>07/XY</v>
      </c>
      <c r="L21" s="34" t="str">
        <f t="shared" si="1"/>
        <v>X</v>
      </c>
      <c r="M21" s="34" t="str">
        <f t="shared" si="2"/>
        <v>Y</v>
      </c>
      <c r="N21" s="44">
        <f t="shared" si="3"/>
        <v>19</v>
      </c>
    </row>
    <row r="22" spans="1:14" x14ac:dyDescent="0.25">
      <c r="A22" s="44">
        <v>20</v>
      </c>
      <c r="B22" s="4">
        <v>0.9829</v>
      </c>
      <c r="C22" s="14">
        <v>22.837941000000001</v>
      </c>
      <c r="D22" s="14">
        <v>15.682162</v>
      </c>
      <c r="E22" s="14">
        <v>61.123640999999999</v>
      </c>
      <c r="F22" s="14">
        <v>49.007927000000002</v>
      </c>
      <c r="G22" s="14">
        <v>17.186488000000001</v>
      </c>
      <c r="H22" s="14">
        <v>17.186488000000001</v>
      </c>
      <c r="I22" s="14">
        <v>1.4274420000000001</v>
      </c>
      <c r="J22" s="22">
        <v>2.35</v>
      </c>
      <c r="K22" s="34" t="str">
        <f t="shared" si="0"/>
        <v>08/XY</v>
      </c>
      <c r="L22" s="34" t="str">
        <f t="shared" si="1"/>
        <v>X</v>
      </c>
      <c r="M22" s="34" t="str">
        <f t="shared" si="2"/>
        <v>Y</v>
      </c>
      <c r="N22" s="44">
        <f t="shared" si="3"/>
        <v>20</v>
      </c>
    </row>
    <row r="23" spans="1:14" x14ac:dyDescent="0.25">
      <c r="A23" s="44">
        <v>21</v>
      </c>
      <c r="B23" s="4">
        <v>0.98680000000000001</v>
      </c>
      <c r="C23" s="14">
        <v>22.890467999999998</v>
      </c>
      <c r="D23" s="14">
        <v>15.74489</v>
      </c>
      <c r="E23" s="14">
        <v>61.722651999999997</v>
      </c>
      <c r="F23" s="14">
        <v>49.115743999999999</v>
      </c>
      <c r="G23" s="14">
        <v>17.236328</v>
      </c>
      <c r="H23" s="14">
        <v>17.236328</v>
      </c>
      <c r="I23" s="14">
        <v>1.4362919999999999</v>
      </c>
      <c r="J23" s="22">
        <v>2.2200000000000002</v>
      </c>
      <c r="K23" s="34" t="str">
        <f t="shared" si="0"/>
        <v>09/XY</v>
      </c>
      <c r="L23" s="34" t="str">
        <f t="shared" si="1"/>
        <v>X</v>
      </c>
      <c r="M23" s="34" t="str">
        <f t="shared" si="2"/>
        <v>Y</v>
      </c>
      <c r="N23" s="44">
        <f t="shared" si="3"/>
        <v>21</v>
      </c>
    </row>
    <row r="24" spans="1:14" x14ac:dyDescent="0.25">
      <c r="A24" s="44">
        <v>22</v>
      </c>
      <c r="B24" s="4">
        <v>0.9899</v>
      </c>
      <c r="C24" s="14">
        <v>23.261292999999998</v>
      </c>
      <c r="D24" s="14">
        <v>15.795273</v>
      </c>
      <c r="E24" s="14">
        <v>61.876958000000002</v>
      </c>
      <c r="F24" s="14">
        <v>49.459553999999997</v>
      </c>
      <c r="G24" s="14">
        <v>17.396625</v>
      </c>
      <c r="H24" s="14">
        <v>17.396625</v>
      </c>
      <c r="I24" s="14">
        <v>1.4463459999999999</v>
      </c>
      <c r="J24" s="22">
        <v>2.0699999999999998</v>
      </c>
      <c r="K24" s="34" t="str">
        <f t="shared" si="0"/>
        <v>10/XY</v>
      </c>
      <c r="L24" s="34" t="str">
        <f t="shared" si="1"/>
        <v>X</v>
      </c>
      <c r="M24" s="34" t="str">
        <f t="shared" si="2"/>
        <v>Y</v>
      </c>
      <c r="N24" s="44">
        <f t="shared" si="3"/>
        <v>22</v>
      </c>
    </row>
    <row r="25" spans="1:14" x14ac:dyDescent="0.25">
      <c r="A25" s="44">
        <v>23</v>
      </c>
      <c r="B25" s="4">
        <v>0.99570000000000003</v>
      </c>
      <c r="C25" s="14">
        <v>23.572994000000001</v>
      </c>
      <c r="D25" s="14">
        <v>16.040099000000001</v>
      </c>
      <c r="E25" s="14">
        <v>63.213500000000003</v>
      </c>
      <c r="F25" s="14">
        <v>50.290474000000003</v>
      </c>
      <c r="G25" s="14">
        <v>17.619301</v>
      </c>
      <c r="H25" s="14">
        <v>17.619301</v>
      </c>
      <c r="I25" s="14">
        <v>1.4654370000000001</v>
      </c>
      <c r="J25" s="22">
        <v>2.0099999999999998</v>
      </c>
      <c r="K25" s="34" t="str">
        <f t="shared" si="0"/>
        <v>11/XY</v>
      </c>
      <c r="L25" s="34" t="str">
        <f t="shared" si="1"/>
        <v>X</v>
      </c>
      <c r="M25" s="34" t="str">
        <f t="shared" si="2"/>
        <v>Y</v>
      </c>
      <c r="N25" s="44">
        <f t="shared" si="3"/>
        <v>23</v>
      </c>
    </row>
    <row r="26" spans="1:14" x14ac:dyDescent="0.25">
      <c r="A26" s="44">
        <v>24</v>
      </c>
      <c r="B26" s="4">
        <v>1.0015000000000001</v>
      </c>
      <c r="C26" s="14">
        <v>23.905373000000001</v>
      </c>
      <c r="D26" s="14">
        <v>16.203707999999999</v>
      </c>
      <c r="E26" s="14">
        <v>64.186987000000002</v>
      </c>
      <c r="F26" s="14">
        <v>50.904017000000003</v>
      </c>
      <c r="G26" s="14">
        <v>17.853636999999999</v>
      </c>
      <c r="H26" s="14">
        <v>17.853636999999999</v>
      </c>
      <c r="I26" s="14">
        <v>1.481703</v>
      </c>
      <c r="J26" s="22">
        <v>1.98</v>
      </c>
      <c r="K26" s="34" t="str">
        <f t="shared" si="0"/>
        <v>012/XW</v>
      </c>
      <c r="L26" s="34" t="str">
        <f t="shared" si="1"/>
        <v>X</v>
      </c>
      <c r="M26" s="34" t="str">
        <f t="shared" si="2"/>
        <v>W</v>
      </c>
      <c r="N26" s="44">
        <f t="shared" si="3"/>
        <v>24</v>
      </c>
    </row>
    <row r="27" spans="1:14" x14ac:dyDescent="0.25">
      <c r="A27" s="44">
        <v>25</v>
      </c>
      <c r="B27" s="4">
        <v>1.0062</v>
      </c>
      <c r="C27" s="14">
        <v>24.218533000000001</v>
      </c>
      <c r="D27" s="14">
        <v>16.422457999999999</v>
      </c>
      <c r="E27" s="14">
        <v>64.668389000000005</v>
      </c>
      <c r="F27" s="14">
        <v>51.458869999999997</v>
      </c>
      <c r="G27" s="14">
        <v>18.067879999999999</v>
      </c>
      <c r="H27" s="14">
        <v>18.067879999999999</v>
      </c>
      <c r="I27" s="14">
        <v>1.5020020000000001</v>
      </c>
      <c r="J27" s="22">
        <v>1.93</v>
      </c>
      <c r="K27" s="34" t="str">
        <f t="shared" si="0"/>
        <v>01/XW</v>
      </c>
      <c r="L27" s="34" t="str">
        <f t="shared" si="1"/>
        <v>X</v>
      </c>
      <c r="M27" s="34" t="str">
        <f t="shared" si="2"/>
        <v>W</v>
      </c>
      <c r="N27" s="44">
        <f t="shared" si="3"/>
        <v>25</v>
      </c>
    </row>
    <row r="28" spans="1:14" x14ac:dyDescent="0.25">
      <c r="A28" s="44">
        <v>26</v>
      </c>
      <c r="B28" s="4">
        <v>1.0122</v>
      </c>
      <c r="C28" s="14">
        <v>24.300875999999999</v>
      </c>
      <c r="D28" s="14">
        <v>16.468440000000001</v>
      </c>
      <c r="E28" s="14">
        <v>64.817126000000002</v>
      </c>
      <c r="F28" s="14">
        <v>51.458869999999997</v>
      </c>
      <c r="G28" s="14">
        <v>18.158218999999999</v>
      </c>
      <c r="H28" s="14">
        <v>18.158218999999999</v>
      </c>
      <c r="I28" s="14">
        <v>1.512516</v>
      </c>
      <c r="J28" s="22">
        <v>1.97000000000001</v>
      </c>
      <c r="K28" s="34" t="str">
        <f t="shared" si="0"/>
        <v>02/XW</v>
      </c>
      <c r="L28" s="34" t="str">
        <f t="shared" si="1"/>
        <v>X</v>
      </c>
      <c r="M28" s="34" t="str">
        <f t="shared" si="2"/>
        <v>W</v>
      </c>
      <c r="N28" s="44">
        <f t="shared" si="3"/>
        <v>26</v>
      </c>
    </row>
    <row r="29" spans="1:14" x14ac:dyDescent="0.25">
      <c r="A29" s="44">
        <v>27</v>
      </c>
      <c r="B29" s="4">
        <v>1.0192000000000001</v>
      </c>
      <c r="C29" s="14">
        <v>24.317886000000001</v>
      </c>
      <c r="D29" s="14">
        <v>16.484908000000001</v>
      </c>
      <c r="E29" s="14">
        <v>64.959722999999997</v>
      </c>
      <c r="F29" s="14">
        <v>51.525765999999997</v>
      </c>
      <c r="G29" s="14">
        <v>18.161850000000001</v>
      </c>
      <c r="H29" s="14">
        <v>18.161850000000001</v>
      </c>
      <c r="I29" s="14">
        <v>1.5141789999999999</v>
      </c>
      <c r="J29" s="22">
        <v>1.9</v>
      </c>
      <c r="K29" s="34" t="str">
        <f t="shared" si="0"/>
        <v>03/XW</v>
      </c>
      <c r="L29" s="34" t="str">
        <f t="shared" si="1"/>
        <v>X</v>
      </c>
      <c r="M29" s="34" t="str">
        <f t="shared" si="2"/>
        <v>W</v>
      </c>
      <c r="N29" s="44">
        <f t="shared" si="3"/>
        <v>27</v>
      </c>
    </row>
    <row r="30" spans="1:14" x14ac:dyDescent="0.25">
      <c r="A30" s="44">
        <v>28</v>
      </c>
      <c r="B30" s="4">
        <v>1.0250999999999999</v>
      </c>
      <c r="C30" s="14">
        <v>24.458929000000001</v>
      </c>
      <c r="D30" s="14">
        <v>16.516228999999999</v>
      </c>
      <c r="E30" s="14">
        <v>65.128618000000003</v>
      </c>
      <c r="F30" s="14">
        <v>51.639122</v>
      </c>
      <c r="G30" s="14">
        <v>18.230865000000001</v>
      </c>
      <c r="H30" s="14">
        <v>18.230865000000001</v>
      </c>
      <c r="I30" s="14">
        <v>1.5162979999999999</v>
      </c>
      <c r="J30" s="22">
        <v>1.8599999999999901</v>
      </c>
      <c r="K30" s="34" t="str">
        <f t="shared" si="0"/>
        <v>04/XW</v>
      </c>
      <c r="L30" s="34" t="str">
        <f t="shared" si="1"/>
        <v>X</v>
      </c>
      <c r="M30" s="34" t="str">
        <f t="shared" si="2"/>
        <v>W</v>
      </c>
      <c r="N30" s="44">
        <f t="shared" si="3"/>
        <v>28</v>
      </c>
    </row>
    <row r="31" spans="1:14" x14ac:dyDescent="0.25">
      <c r="A31" s="44">
        <v>29</v>
      </c>
      <c r="B31" s="4">
        <v>1.0305</v>
      </c>
      <c r="C31" s="14">
        <v>24.542089000000001</v>
      </c>
      <c r="D31" s="14">
        <v>16.549261000000001</v>
      </c>
      <c r="E31" s="14">
        <v>65.506362999999993</v>
      </c>
      <c r="F31" s="14">
        <v>51.783710999999997</v>
      </c>
      <c r="G31" s="14">
        <v>18.292849</v>
      </c>
      <c r="H31" s="14">
        <v>18.292849</v>
      </c>
      <c r="I31" s="14">
        <v>1.5225139999999999</v>
      </c>
      <c r="J31" s="22">
        <v>1.8</v>
      </c>
      <c r="K31" s="34" t="str">
        <f t="shared" si="0"/>
        <v>05/XW</v>
      </c>
      <c r="L31" s="34" t="str">
        <f t="shared" si="1"/>
        <v>X</v>
      </c>
      <c r="M31" s="34" t="str">
        <f t="shared" si="2"/>
        <v>W</v>
      </c>
      <c r="N31" s="44">
        <f t="shared" si="3"/>
        <v>29</v>
      </c>
    </row>
    <row r="32" spans="1:14" x14ac:dyDescent="0.25">
      <c r="A32" s="44">
        <v>30</v>
      </c>
      <c r="B32" s="4">
        <v>1.0388999999999999</v>
      </c>
      <c r="C32" s="14">
        <v>24.58381</v>
      </c>
      <c r="D32" s="14">
        <v>16.670069999999999</v>
      </c>
      <c r="E32" s="14">
        <v>65.892849999999996</v>
      </c>
      <c r="F32" s="14">
        <v>52.239407</v>
      </c>
      <c r="G32" s="14">
        <v>18.353214999999999</v>
      </c>
      <c r="H32" s="14">
        <v>18.353214999999999</v>
      </c>
      <c r="I32" s="14">
        <v>1.5255590000000001</v>
      </c>
      <c r="J32" s="22">
        <v>1.8</v>
      </c>
      <c r="K32" s="34" t="str">
        <f t="shared" si="0"/>
        <v>06/XW</v>
      </c>
      <c r="L32" s="34" t="str">
        <f t="shared" si="1"/>
        <v>X</v>
      </c>
      <c r="M32" s="34" t="str">
        <f t="shared" si="2"/>
        <v>W</v>
      </c>
      <c r="N32" s="44">
        <f t="shared" si="3"/>
        <v>30</v>
      </c>
    </row>
    <row r="33" spans="1:14" x14ac:dyDescent="0.25">
      <c r="A33" s="44">
        <v>31</v>
      </c>
      <c r="B33" s="4">
        <v>1.0426</v>
      </c>
      <c r="C33" s="14">
        <v>24.886189999999999</v>
      </c>
      <c r="D33" s="14">
        <v>16.965129999999998</v>
      </c>
      <c r="E33" s="14">
        <v>66.103707</v>
      </c>
      <c r="F33" s="14">
        <v>53.064788999999998</v>
      </c>
      <c r="G33" s="14">
        <v>18.501875999999999</v>
      </c>
      <c r="H33" s="14">
        <v>18.501875999999999</v>
      </c>
      <c r="I33" s="14">
        <v>1.542797</v>
      </c>
      <c r="J33" s="22">
        <v>1.73</v>
      </c>
      <c r="K33" s="34" t="str">
        <f t="shared" si="0"/>
        <v>07/XW</v>
      </c>
      <c r="L33" s="34" t="str">
        <f t="shared" si="1"/>
        <v>X</v>
      </c>
      <c r="M33" s="34" t="str">
        <f t="shared" si="2"/>
        <v>W</v>
      </c>
      <c r="N33" s="44">
        <f t="shared" si="3"/>
        <v>31</v>
      </c>
    </row>
    <row r="34" spans="1:14" x14ac:dyDescent="0.25">
      <c r="A34" s="44">
        <v>32</v>
      </c>
      <c r="B34" s="4">
        <v>1.0495000000000001</v>
      </c>
      <c r="C34" s="14">
        <v>24.888677999999999</v>
      </c>
      <c r="D34" s="14">
        <v>17.038080000000001</v>
      </c>
      <c r="E34" s="14">
        <v>66.421003999999996</v>
      </c>
      <c r="F34" s="14">
        <v>53.287661</v>
      </c>
      <c r="G34" s="14">
        <v>18.585134</v>
      </c>
      <c r="H34" s="14">
        <v>18.585134</v>
      </c>
      <c r="I34" s="14">
        <v>1.55375</v>
      </c>
      <c r="J34" s="22">
        <v>1.6699999999999899</v>
      </c>
      <c r="K34" s="34" t="str">
        <f t="shared" si="0"/>
        <v>08/XW</v>
      </c>
      <c r="L34" s="34" t="str">
        <f t="shared" si="1"/>
        <v>X</v>
      </c>
      <c r="M34" s="34" t="str">
        <f t="shared" si="2"/>
        <v>W</v>
      </c>
      <c r="N34" s="44">
        <f t="shared" si="3"/>
        <v>32</v>
      </c>
    </row>
    <row r="35" spans="1:14" x14ac:dyDescent="0.25">
      <c r="A35" s="44">
        <v>33</v>
      </c>
      <c r="B35" s="4">
        <v>1.0553999999999999</v>
      </c>
      <c r="C35" s="14">
        <v>24.940943999999998</v>
      </c>
      <c r="D35" s="14">
        <v>17.234017000000001</v>
      </c>
      <c r="E35" s="14">
        <v>66.905877000000004</v>
      </c>
      <c r="F35" s="14">
        <v>53.905797</v>
      </c>
      <c r="G35" s="14">
        <v>18.711511999999999</v>
      </c>
      <c r="H35" s="14">
        <v>18.711511999999999</v>
      </c>
      <c r="I35" s="14">
        <v>1.5629169999999999</v>
      </c>
      <c r="J35" s="22">
        <v>1.6400000000000099</v>
      </c>
      <c r="K35" s="34" t="str">
        <f t="shared" si="0"/>
        <v>09/XW</v>
      </c>
      <c r="L35" s="34" t="str">
        <f t="shared" si="1"/>
        <v>X</v>
      </c>
      <c r="M35" s="34" t="str">
        <f t="shared" si="2"/>
        <v>W</v>
      </c>
      <c r="N35" s="44">
        <f t="shared" si="3"/>
        <v>33</v>
      </c>
    </row>
    <row r="36" spans="1:14" x14ac:dyDescent="0.25">
      <c r="A36" s="44">
        <v>34</v>
      </c>
      <c r="B36" s="4">
        <v>1.0606</v>
      </c>
      <c r="C36" s="14">
        <v>25.100566000000001</v>
      </c>
      <c r="D36" s="14">
        <v>17.351208</v>
      </c>
      <c r="E36" s="14">
        <v>67.059759999999997</v>
      </c>
      <c r="F36" s="14">
        <v>54.223841</v>
      </c>
      <c r="G36" s="14">
        <v>18.823781</v>
      </c>
      <c r="H36" s="14">
        <v>18.823781</v>
      </c>
      <c r="I36" s="14">
        <v>1.5735440000000001</v>
      </c>
      <c r="J36" s="22">
        <v>1.6599999999999899</v>
      </c>
      <c r="K36" s="34" t="str">
        <f t="shared" si="0"/>
        <v>10/XW</v>
      </c>
      <c r="L36" s="34" t="str">
        <f t="shared" si="1"/>
        <v>X</v>
      </c>
      <c r="M36" s="34" t="str">
        <f t="shared" si="2"/>
        <v>W</v>
      </c>
      <c r="N36" s="44">
        <f t="shared" si="3"/>
        <v>34</v>
      </c>
    </row>
    <row r="37" spans="1:14" x14ac:dyDescent="0.25">
      <c r="A37" s="44">
        <v>35</v>
      </c>
      <c r="B37" s="4">
        <v>1.0678000000000001</v>
      </c>
      <c r="C37" s="14">
        <v>25.238619</v>
      </c>
      <c r="D37" s="14">
        <v>17.387644999999999</v>
      </c>
      <c r="E37" s="14">
        <v>67.636472999999995</v>
      </c>
      <c r="F37" s="14">
        <v>54.386512000000003</v>
      </c>
      <c r="G37" s="14">
        <v>18.844487000000001</v>
      </c>
      <c r="H37" s="14">
        <v>18.844487000000001</v>
      </c>
      <c r="I37" s="14">
        <v>1.5814109999999999</v>
      </c>
      <c r="J37" s="22">
        <v>1.58</v>
      </c>
      <c r="K37" s="34" t="str">
        <f t="shared" si="0"/>
        <v>11/XW</v>
      </c>
      <c r="L37" s="34" t="str">
        <f t="shared" si="1"/>
        <v>X</v>
      </c>
      <c r="M37" s="34" t="str">
        <f t="shared" si="2"/>
        <v>W</v>
      </c>
      <c r="N37" s="44">
        <f t="shared" si="3"/>
        <v>35</v>
      </c>
    </row>
    <row r="38" spans="1:14" x14ac:dyDescent="0.25">
      <c r="A38" s="44">
        <v>36</v>
      </c>
      <c r="B38" s="4">
        <v>1.0745</v>
      </c>
      <c r="C38" s="14">
        <v>25.597007000000001</v>
      </c>
      <c r="D38" s="14">
        <v>17.516313</v>
      </c>
      <c r="E38" s="14">
        <v>68.387236999999999</v>
      </c>
      <c r="F38" s="14">
        <v>54.767217000000002</v>
      </c>
      <c r="G38" s="14">
        <v>18.910442</v>
      </c>
      <c r="H38" s="14">
        <v>18.910442</v>
      </c>
      <c r="I38" s="14">
        <v>1.5901080000000001</v>
      </c>
      <c r="J38" s="22">
        <v>1.61</v>
      </c>
      <c r="K38" s="34" t="str">
        <f t="shared" si="0"/>
        <v>012/XZ</v>
      </c>
      <c r="L38" s="34" t="str">
        <f t="shared" si="1"/>
        <v>X</v>
      </c>
      <c r="M38" s="34" t="str">
        <f t="shared" si="2"/>
        <v>Z</v>
      </c>
      <c r="N38" s="44">
        <f t="shared" si="3"/>
        <v>36</v>
      </c>
    </row>
    <row r="39" spans="1:14" x14ac:dyDescent="0.25">
      <c r="A39" s="44">
        <v>37</v>
      </c>
      <c r="B39" s="4">
        <v>1.0808</v>
      </c>
      <c r="C39" s="14">
        <v>25.625163000000001</v>
      </c>
      <c r="D39" s="14">
        <v>17.532077000000001</v>
      </c>
      <c r="E39" s="14">
        <v>68.736011000000005</v>
      </c>
      <c r="F39" s="14">
        <v>54.816507000000001</v>
      </c>
      <c r="G39" s="14">
        <v>18.944479999999999</v>
      </c>
      <c r="H39" s="14">
        <v>18.944479999999999</v>
      </c>
      <c r="I39" s="14">
        <v>1.595037</v>
      </c>
      <c r="J39" s="22">
        <v>1.6</v>
      </c>
      <c r="K39" s="34" t="str">
        <f t="shared" si="0"/>
        <v>01/XZ</v>
      </c>
      <c r="L39" s="34" t="str">
        <f t="shared" si="1"/>
        <v>X</v>
      </c>
      <c r="M39" s="34" t="str">
        <f t="shared" si="2"/>
        <v>Z</v>
      </c>
      <c r="N39" s="44">
        <f t="shared" si="3"/>
        <v>37</v>
      </c>
    </row>
    <row r="40" spans="1:14" x14ac:dyDescent="0.25">
      <c r="A40" s="44">
        <v>38</v>
      </c>
      <c r="B40" s="4">
        <v>1.0872999999999999</v>
      </c>
      <c r="C40" s="14">
        <v>25.430410999999999</v>
      </c>
      <c r="D40" s="14">
        <v>17.547854999999998</v>
      </c>
      <c r="E40" s="14">
        <v>69.547094999999999</v>
      </c>
      <c r="F40" s="14">
        <v>54.794580000000003</v>
      </c>
      <c r="G40" s="14">
        <v>18.938796</v>
      </c>
      <c r="H40" s="14">
        <v>18.938796</v>
      </c>
      <c r="I40" s="14">
        <v>1.5977479999999999</v>
      </c>
      <c r="J40" s="22">
        <v>1.5899999999999901</v>
      </c>
      <c r="K40" s="34" t="str">
        <f t="shared" si="0"/>
        <v>02/XZ</v>
      </c>
      <c r="L40" s="34" t="str">
        <f t="shared" si="1"/>
        <v>X</v>
      </c>
      <c r="M40" s="34" t="str">
        <f t="shared" si="2"/>
        <v>Z</v>
      </c>
      <c r="N40" s="44">
        <f t="shared" si="3"/>
        <v>38</v>
      </c>
    </row>
    <row r="41" spans="1:14" x14ac:dyDescent="0.25">
      <c r="A41" s="44">
        <v>39</v>
      </c>
      <c r="B41" s="4">
        <v>1.0927</v>
      </c>
      <c r="C41" s="14">
        <v>25.432953999999999</v>
      </c>
      <c r="D41" s="14">
        <v>17.632083999999999</v>
      </c>
      <c r="E41" s="14">
        <v>69.734871999999996</v>
      </c>
      <c r="F41" s="14">
        <v>55.117868000000001</v>
      </c>
      <c r="G41" s="14">
        <v>18.957733999999999</v>
      </c>
      <c r="H41" s="14">
        <v>18.957733999999999</v>
      </c>
      <c r="I41" s="14">
        <v>1.596949</v>
      </c>
      <c r="J41" s="22">
        <v>1.59</v>
      </c>
      <c r="K41" s="34" t="str">
        <f t="shared" si="0"/>
        <v>03/XZ</v>
      </c>
      <c r="L41" s="34" t="str">
        <f t="shared" si="1"/>
        <v>X</v>
      </c>
      <c r="M41" s="34" t="str">
        <f t="shared" si="2"/>
        <v>Z</v>
      </c>
      <c r="N41" s="44">
        <f t="shared" si="3"/>
        <v>39</v>
      </c>
    </row>
    <row r="42" spans="1:14" x14ac:dyDescent="0.25">
      <c r="A42" s="44">
        <v>40</v>
      </c>
      <c r="B42" s="4">
        <v>1.0993999999999999</v>
      </c>
      <c r="C42" s="14">
        <v>25.488906</v>
      </c>
      <c r="D42" s="14">
        <v>17.697322</v>
      </c>
      <c r="E42" s="14">
        <v>69.839473999999996</v>
      </c>
      <c r="F42" s="14">
        <v>55.305267999999998</v>
      </c>
      <c r="G42" s="14">
        <v>19.012710999999999</v>
      </c>
      <c r="H42" s="14">
        <v>19.012710999999999</v>
      </c>
      <c r="I42" s="14">
        <v>1.6009409999999999</v>
      </c>
      <c r="J42" s="22">
        <v>1.67</v>
      </c>
      <c r="K42" s="34" t="str">
        <f t="shared" si="0"/>
        <v>04/XZ</v>
      </c>
      <c r="L42" s="34" t="str">
        <f t="shared" si="1"/>
        <v>X</v>
      </c>
      <c r="M42" s="34" t="str">
        <f t="shared" si="2"/>
        <v>Z</v>
      </c>
      <c r="N42" s="44">
        <f t="shared" si="3"/>
        <v>40</v>
      </c>
    </row>
    <row r="43" spans="1:14" x14ac:dyDescent="0.25">
      <c r="A43" s="44">
        <v>41</v>
      </c>
      <c r="B43" s="4">
        <v>1.1082000000000001</v>
      </c>
      <c r="C43" s="14">
        <v>25.623996999999999</v>
      </c>
      <c r="D43" s="14">
        <v>17.810583999999999</v>
      </c>
      <c r="E43" s="14">
        <v>70.216606999999996</v>
      </c>
      <c r="F43" s="14">
        <v>55.764301000000003</v>
      </c>
      <c r="G43" s="14">
        <v>19.041229999999999</v>
      </c>
      <c r="H43" s="14">
        <v>19.041229999999999</v>
      </c>
      <c r="I43" s="14">
        <v>1.602061</v>
      </c>
      <c r="J43" s="22">
        <v>3.04</v>
      </c>
      <c r="K43" s="34" t="str">
        <f t="shared" si="0"/>
        <v>05/XZ</v>
      </c>
      <c r="L43" s="34" t="str">
        <f t="shared" si="1"/>
        <v>X</v>
      </c>
      <c r="M43" s="34" t="str">
        <f t="shared" si="2"/>
        <v>Z</v>
      </c>
      <c r="N43" s="44">
        <f t="shared" si="3"/>
        <v>41</v>
      </c>
    </row>
    <row r="44" spans="1:14" x14ac:dyDescent="0.25">
      <c r="A44" s="44">
        <v>42</v>
      </c>
      <c r="B44" s="4">
        <v>1.1143000000000001</v>
      </c>
      <c r="C44" s="14">
        <v>25.770053000000001</v>
      </c>
      <c r="D44" s="14">
        <v>17.960191999999999</v>
      </c>
      <c r="E44" s="14">
        <v>70.378105000000005</v>
      </c>
      <c r="F44" s="14">
        <v>56.149073999999999</v>
      </c>
      <c r="G44" s="14">
        <v>19.149764999999999</v>
      </c>
      <c r="H44" s="14">
        <v>19.149764999999999</v>
      </c>
      <c r="I44" s="14">
        <v>1.6099110000000001</v>
      </c>
      <c r="J44" s="22">
        <v>2.96999999999999</v>
      </c>
      <c r="K44" s="34" t="str">
        <f t="shared" si="0"/>
        <v>06/XZ</v>
      </c>
      <c r="L44" s="34" t="str">
        <f t="shared" si="1"/>
        <v>X</v>
      </c>
      <c r="M44" s="34" t="str">
        <f t="shared" si="2"/>
        <v>Z</v>
      </c>
      <c r="N44" s="44">
        <f t="shared" si="3"/>
        <v>42</v>
      </c>
    </row>
    <row r="45" spans="1:14" x14ac:dyDescent="0.25">
      <c r="A45" s="44">
        <v>43</v>
      </c>
      <c r="B45" s="4">
        <v>1.1206</v>
      </c>
      <c r="C45" s="14">
        <v>25.831900999999998</v>
      </c>
      <c r="D45" s="14">
        <v>18.132608999999999</v>
      </c>
      <c r="E45" s="14">
        <v>70.610352000000006</v>
      </c>
      <c r="F45" s="14">
        <v>56.643185000000003</v>
      </c>
      <c r="G45" s="14">
        <v>19.312538</v>
      </c>
      <c r="H45" s="14">
        <v>19.312538</v>
      </c>
      <c r="I45" s="14">
        <v>1.6186039999999999</v>
      </c>
      <c r="J45" s="22">
        <v>2.6700000000000101</v>
      </c>
      <c r="K45" s="34" t="str">
        <f t="shared" si="0"/>
        <v>07/XZ</v>
      </c>
      <c r="L45" s="34" t="str">
        <f t="shared" si="1"/>
        <v>X</v>
      </c>
      <c r="M45" s="34" t="str">
        <f t="shared" si="2"/>
        <v>Z</v>
      </c>
      <c r="N45" s="44">
        <f t="shared" si="3"/>
        <v>43</v>
      </c>
    </row>
    <row r="46" spans="1:14" x14ac:dyDescent="0.25">
      <c r="A46" s="44">
        <v>44</v>
      </c>
      <c r="B46" s="4">
        <v>1.1275999999999999</v>
      </c>
      <c r="C46" s="14">
        <v>25.790569000000001</v>
      </c>
      <c r="D46" s="14">
        <v>18.165247000000001</v>
      </c>
      <c r="E46" s="14">
        <v>70.949280999999999</v>
      </c>
      <c r="F46" s="14">
        <v>56.654513000000001</v>
      </c>
      <c r="G46" s="14">
        <v>19.416824999999999</v>
      </c>
      <c r="H46" s="14">
        <v>19.416824999999999</v>
      </c>
      <c r="I46" s="14">
        <v>1.6289629999999999</v>
      </c>
      <c r="J46" s="22">
        <v>2.13</v>
      </c>
      <c r="K46" s="34" t="str">
        <f t="shared" si="0"/>
        <v>08/XZ</v>
      </c>
      <c r="L46" s="34" t="str">
        <f t="shared" si="1"/>
        <v>X</v>
      </c>
      <c r="M46" s="34" t="str">
        <f t="shared" si="2"/>
        <v>Z</v>
      </c>
      <c r="N46" s="44">
        <f t="shared" si="3"/>
        <v>44</v>
      </c>
    </row>
    <row r="47" spans="1:14" x14ac:dyDescent="0.25">
      <c r="A47" s="44">
        <v>45</v>
      </c>
      <c r="B47" s="4">
        <v>1.1334</v>
      </c>
      <c r="C47" s="14">
        <v>25.731249999999999</v>
      </c>
      <c r="D47" s="14">
        <v>18.199760000000001</v>
      </c>
      <c r="E47" s="14">
        <v>71.282741999999999</v>
      </c>
      <c r="F47" s="14">
        <v>56.784818000000001</v>
      </c>
      <c r="G47" s="14">
        <v>19.511966999999999</v>
      </c>
      <c r="H47" s="14">
        <v>19.511966999999999</v>
      </c>
      <c r="I47" s="14">
        <v>1.6353150000000001</v>
      </c>
      <c r="J47" s="22">
        <v>2.2000000000000002</v>
      </c>
      <c r="K47" s="34" t="str">
        <f t="shared" si="0"/>
        <v>09/XZ</v>
      </c>
      <c r="L47" s="34" t="str">
        <f t="shared" si="1"/>
        <v>X</v>
      </c>
      <c r="M47" s="34" t="str">
        <f t="shared" si="2"/>
        <v>Z</v>
      </c>
      <c r="N47" s="44">
        <f t="shared" si="3"/>
        <v>45</v>
      </c>
    </row>
    <row r="48" spans="1:14" x14ac:dyDescent="0.25">
      <c r="A48" s="44">
        <v>46</v>
      </c>
      <c r="B48" s="4">
        <v>1.1407</v>
      </c>
      <c r="C48" s="14">
        <v>25.890782999999999</v>
      </c>
      <c r="D48" s="14">
        <v>18.223419</v>
      </c>
      <c r="E48" s="14">
        <v>70.926327999999998</v>
      </c>
      <c r="F48" s="14">
        <v>56.710996999999999</v>
      </c>
      <c r="G48" s="14">
        <v>19.599769999999999</v>
      </c>
      <c r="H48" s="14">
        <v>19.599769999999999</v>
      </c>
      <c r="I48" s="14">
        <v>1.6389119999999999</v>
      </c>
      <c r="J48" s="22">
        <v>1.71</v>
      </c>
      <c r="K48" s="34" t="str">
        <f t="shared" si="0"/>
        <v>10/XZ</v>
      </c>
      <c r="L48" s="34" t="str">
        <f t="shared" si="1"/>
        <v>X</v>
      </c>
      <c r="M48" s="34" t="str">
        <f t="shared" si="2"/>
        <v>Z</v>
      </c>
      <c r="N48" s="44">
        <f t="shared" si="3"/>
        <v>46</v>
      </c>
    </row>
    <row r="49" spans="1:14" x14ac:dyDescent="0.25">
      <c r="A49" s="44">
        <v>47</v>
      </c>
      <c r="B49" s="4">
        <v>1.1472</v>
      </c>
      <c r="C49" s="14">
        <v>26.025414999999999</v>
      </c>
      <c r="D49" s="14">
        <v>18.248930999999999</v>
      </c>
      <c r="E49" s="14">
        <v>71.621405999999993</v>
      </c>
      <c r="F49" s="14">
        <v>56.841431999999998</v>
      </c>
      <c r="G49" s="14">
        <v>19.740888000000002</v>
      </c>
      <c r="H49" s="14">
        <v>19.740888000000002</v>
      </c>
      <c r="I49" s="14">
        <v>1.6456310000000001</v>
      </c>
      <c r="J49" s="22">
        <v>1.63</v>
      </c>
      <c r="K49" s="34" t="str">
        <f t="shared" si="0"/>
        <v>11/XZ</v>
      </c>
      <c r="L49" s="34" t="str">
        <f t="shared" si="1"/>
        <v>X</v>
      </c>
      <c r="M49" s="34" t="str">
        <f t="shared" si="2"/>
        <v>Z</v>
      </c>
      <c r="N49" s="44">
        <f t="shared" si="3"/>
        <v>47</v>
      </c>
    </row>
    <row r="50" spans="1:14" x14ac:dyDescent="0.25">
      <c r="A50" s="44">
        <v>48</v>
      </c>
      <c r="B50" s="4">
        <v>1.1551</v>
      </c>
      <c r="C50" s="14">
        <v>26.074863000000001</v>
      </c>
      <c r="D50" s="14">
        <v>18.318276000000001</v>
      </c>
      <c r="E50" s="14">
        <v>71.900728999999998</v>
      </c>
      <c r="F50" s="14">
        <v>57.000588</v>
      </c>
      <c r="G50" s="14">
        <v>19.770499000000001</v>
      </c>
      <c r="H50" s="14">
        <v>19.770499000000001</v>
      </c>
      <c r="I50" s="14">
        <v>1.6512260000000001</v>
      </c>
      <c r="J50" s="22">
        <v>1.6</v>
      </c>
      <c r="K50" s="34" t="str">
        <f t="shared" si="0"/>
        <v>012/XS</v>
      </c>
      <c r="L50" s="34" t="str">
        <f t="shared" si="1"/>
        <v>X</v>
      </c>
      <c r="M50" s="34" t="str">
        <f t="shared" si="2"/>
        <v>S</v>
      </c>
      <c r="N50" s="44">
        <f t="shared" si="3"/>
        <v>48</v>
      </c>
    </row>
    <row r="51" spans="1:14" x14ac:dyDescent="0.25">
      <c r="A51" s="44">
        <v>49</v>
      </c>
      <c r="B51" s="4">
        <v>1.1615</v>
      </c>
      <c r="C51" s="14">
        <v>25.874085999999998</v>
      </c>
      <c r="D51" s="14">
        <v>18.287134000000002</v>
      </c>
      <c r="E51" s="14">
        <v>72.145190999999997</v>
      </c>
      <c r="F51" s="14">
        <v>56.783985000000001</v>
      </c>
      <c r="G51" s="14">
        <v>19.715140999999999</v>
      </c>
      <c r="H51" s="14">
        <v>19.715140999999999</v>
      </c>
      <c r="I51" s="14">
        <v>1.6494089999999999</v>
      </c>
      <c r="J51" s="22">
        <v>1.7</v>
      </c>
      <c r="K51" s="34" t="str">
        <f t="shared" si="0"/>
        <v>01/XS</v>
      </c>
      <c r="L51" s="34" t="str">
        <f t="shared" si="1"/>
        <v>X</v>
      </c>
      <c r="M51" s="34" t="str">
        <f t="shared" si="2"/>
        <v>S</v>
      </c>
      <c r="N51" s="44">
        <f t="shared" si="3"/>
        <v>49</v>
      </c>
    </row>
    <row r="52" spans="1:14" x14ac:dyDescent="0.25">
      <c r="A52" s="44">
        <v>50</v>
      </c>
      <c r="B52" s="4">
        <v>1.1716</v>
      </c>
      <c r="C52" s="14">
        <v>25.615345000000001</v>
      </c>
      <c r="D52" s="14">
        <v>18.257874000000001</v>
      </c>
      <c r="E52" s="14">
        <v>72.303910000000002</v>
      </c>
      <c r="F52" s="14">
        <v>56.687452</v>
      </c>
      <c r="G52" s="14">
        <v>19.618535999999999</v>
      </c>
      <c r="H52" s="14">
        <v>19.618535999999999</v>
      </c>
      <c r="I52" s="14">
        <v>1.6433059999999999</v>
      </c>
      <c r="J52" s="22">
        <v>1.47999999999999</v>
      </c>
      <c r="K52" s="34" t="str">
        <f t="shared" si="0"/>
        <v>02/XS</v>
      </c>
      <c r="L52" s="34" t="str">
        <f t="shared" si="1"/>
        <v>X</v>
      </c>
      <c r="M52" s="34" t="str">
        <f t="shared" si="2"/>
        <v>S</v>
      </c>
      <c r="N52" s="44">
        <f t="shared" si="3"/>
        <v>50</v>
      </c>
    </row>
    <row r="53" spans="1:14" x14ac:dyDescent="0.25">
      <c r="A53" s="44">
        <v>51</v>
      </c>
      <c r="B53" s="4">
        <v>1.1798</v>
      </c>
      <c r="C53" s="14">
        <v>25.446283000000001</v>
      </c>
      <c r="D53" s="14">
        <v>18.243266999999999</v>
      </c>
      <c r="E53" s="14">
        <v>72.311139999999995</v>
      </c>
      <c r="F53" s="14">
        <v>56.676113999999998</v>
      </c>
      <c r="G53" s="14">
        <v>19.557718000000001</v>
      </c>
      <c r="H53" s="14">
        <v>19.557718000000001</v>
      </c>
      <c r="I53" s="14">
        <v>1.6360749999999999</v>
      </c>
      <c r="J53" s="22">
        <v>2.49000000000001</v>
      </c>
      <c r="K53" s="34" t="str">
        <f t="shared" si="0"/>
        <v>03/XS</v>
      </c>
      <c r="L53" s="34" t="str">
        <f t="shared" si="1"/>
        <v>X</v>
      </c>
      <c r="M53" s="34" t="str">
        <f t="shared" si="2"/>
        <v>S</v>
      </c>
      <c r="N53" s="44">
        <f t="shared" si="3"/>
        <v>51</v>
      </c>
    </row>
    <row r="54" spans="1:14" x14ac:dyDescent="0.25">
      <c r="A54" s="44">
        <v>52</v>
      </c>
      <c r="B54" s="4">
        <v>1.1886000000000001</v>
      </c>
      <c r="C54" s="14">
        <v>25.451371999999999</v>
      </c>
      <c r="D54" s="14">
        <v>18.257860999999998</v>
      </c>
      <c r="E54" s="14">
        <v>72.318370999999999</v>
      </c>
      <c r="F54" s="14">
        <v>56.659111000000003</v>
      </c>
      <c r="G54" s="14">
        <v>19.579231</v>
      </c>
      <c r="H54" s="14">
        <v>19.579231</v>
      </c>
      <c r="I54" s="14">
        <v>1.6362380000000001</v>
      </c>
      <c r="J54" s="22">
        <v>2.9399999999999902</v>
      </c>
      <c r="K54" s="34" t="str">
        <f t="shared" si="0"/>
        <v>04/XS</v>
      </c>
      <c r="L54" s="34" t="str">
        <f t="shared" si="1"/>
        <v>X</v>
      </c>
      <c r="M54" s="34" t="str">
        <f t="shared" si="2"/>
        <v>S</v>
      </c>
      <c r="N54" s="44">
        <f t="shared" si="3"/>
        <v>52</v>
      </c>
    </row>
    <row r="55" spans="1:14" x14ac:dyDescent="0.25">
      <c r="A55" s="44">
        <v>53</v>
      </c>
      <c r="B55" s="4">
        <v>1.1915</v>
      </c>
      <c r="C55" s="14">
        <v>25.339385</v>
      </c>
      <c r="D55" s="14">
        <v>18.199435000000001</v>
      </c>
      <c r="E55" s="14">
        <v>72.282211000000004</v>
      </c>
      <c r="F55" s="14">
        <v>56.557124000000002</v>
      </c>
      <c r="G55" s="14">
        <v>19.543987999999999</v>
      </c>
      <c r="H55" s="14">
        <v>19.543987999999999</v>
      </c>
      <c r="I55" s="14">
        <v>1.6344380000000001</v>
      </c>
      <c r="J55" s="22">
        <v>2.63</v>
      </c>
      <c r="K55" s="34" t="str">
        <f t="shared" si="0"/>
        <v>05/XS</v>
      </c>
      <c r="L55" s="34" t="str">
        <f t="shared" si="1"/>
        <v>X</v>
      </c>
      <c r="M55" s="34" t="str">
        <f t="shared" si="2"/>
        <v>S</v>
      </c>
      <c r="N55" s="44">
        <f t="shared" si="3"/>
        <v>53</v>
      </c>
    </row>
    <row r="56" spans="1:14" x14ac:dyDescent="0.25">
      <c r="A56" s="44">
        <v>54</v>
      </c>
      <c r="B56" s="4">
        <v>1.2052</v>
      </c>
      <c r="C56" s="14">
        <v>25.308976999999999</v>
      </c>
      <c r="D56" s="14">
        <v>18.281331999999999</v>
      </c>
      <c r="E56" s="14">
        <v>72.318352000000004</v>
      </c>
      <c r="F56" s="14">
        <v>57.111382999999996</v>
      </c>
      <c r="G56" s="14">
        <v>19.626072000000001</v>
      </c>
      <c r="H56" s="14">
        <v>19.626072000000001</v>
      </c>
      <c r="I56" s="14">
        <v>1.6365620000000001</v>
      </c>
      <c r="J56" s="22">
        <v>2.4</v>
      </c>
      <c r="K56" s="34" t="str">
        <f t="shared" si="0"/>
        <v>06/XS</v>
      </c>
      <c r="L56" s="34" t="str">
        <f t="shared" si="1"/>
        <v>X</v>
      </c>
      <c r="M56" s="34" t="str">
        <f t="shared" si="2"/>
        <v>S</v>
      </c>
      <c r="N56" s="44">
        <f t="shared" si="3"/>
        <v>54</v>
      </c>
    </row>
    <row r="57" spans="1:14" x14ac:dyDescent="0.25">
      <c r="A57" s="44">
        <v>55</v>
      </c>
      <c r="B57" s="4">
        <v>1.4659</v>
      </c>
      <c r="C57" s="14">
        <v>25.435521000000001</v>
      </c>
      <c r="D57" s="14">
        <v>18.434895000000001</v>
      </c>
      <c r="E57" s="14">
        <v>72.716102000000006</v>
      </c>
      <c r="F57" s="14">
        <v>57.768163000000001</v>
      </c>
      <c r="G57" s="14">
        <v>19.753640999999998</v>
      </c>
      <c r="H57" s="14">
        <v>19.753640999999998</v>
      </c>
      <c r="I57" s="14">
        <v>1.6476900000000001</v>
      </c>
      <c r="J57" s="22">
        <v>2.1800000000000002</v>
      </c>
      <c r="K57" s="34" t="str">
        <f t="shared" si="0"/>
        <v>07/XS</v>
      </c>
      <c r="L57" s="34" t="str">
        <f t="shared" si="1"/>
        <v>X</v>
      </c>
      <c r="M57" s="34" t="str">
        <f t="shared" si="2"/>
        <v>S</v>
      </c>
      <c r="N57" s="44">
        <f t="shared" si="3"/>
        <v>55</v>
      </c>
    </row>
    <row r="58" spans="1:14" x14ac:dyDescent="0.25">
      <c r="A58" s="44">
        <v>56</v>
      </c>
      <c r="B58" s="4">
        <v>1.8984000000000001</v>
      </c>
      <c r="C58" s="14">
        <v>25.794160999999999</v>
      </c>
      <c r="D58" s="14">
        <v>19.100394000000001</v>
      </c>
      <c r="E58" s="14">
        <v>73.428719000000001</v>
      </c>
      <c r="F58" s="14">
        <v>60.333069000000002</v>
      </c>
      <c r="G58" s="14">
        <v>20.008462000000002</v>
      </c>
      <c r="H58" s="14">
        <v>20.008462000000002</v>
      </c>
      <c r="I58" s="14">
        <v>1.6582349999999999</v>
      </c>
      <c r="J58" s="22">
        <v>2.38</v>
      </c>
      <c r="K58" s="34" t="str">
        <f t="shared" si="0"/>
        <v>08/XS</v>
      </c>
      <c r="L58" s="34" t="str">
        <f t="shared" si="1"/>
        <v>X</v>
      </c>
      <c r="M58" s="34" t="str">
        <f t="shared" si="2"/>
        <v>S</v>
      </c>
      <c r="N58" s="44">
        <f t="shared" si="3"/>
        <v>56</v>
      </c>
    </row>
    <row r="59" spans="1:14" x14ac:dyDescent="0.25">
      <c r="A59" s="44">
        <v>57</v>
      </c>
      <c r="B59" s="4">
        <v>1.8825000000000001</v>
      </c>
      <c r="C59" s="14">
        <v>25.938607999999999</v>
      </c>
      <c r="D59" s="14">
        <v>19.640934999999999</v>
      </c>
      <c r="E59" s="14">
        <v>73.832576000000003</v>
      </c>
      <c r="F59" s="14">
        <v>61.527662999999997</v>
      </c>
      <c r="G59" s="14">
        <v>20.264569999999999</v>
      </c>
      <c r="H59" s="14">
        <v>20.264569999999999</v>
      </c>
      <c r="I59" s="14">
        <v>1.6784650000000001</v>
      </c>
      <c r="J59" s="22">
        <v>3.3299999999999899</v>
      </c>
      <c r="K59" s="34" t="str">
        <f t="shared" si="0"/>
        <v>09/XS</v>
      </c>
      <c r="L59" s="34" t="str">
        <f t="shared" si="1"/>
        <v>X</v>
      </c>
      <c r="M59" s="34" t="str">
        <f t="shared" si="2"/>
        <v>S</v>
      </c>
      <c r="N59" s="44">
        <f t="shared" si="3"/>
        <v>57</v>
      </c>
    </row>
    <row r="60" spans="1:14" x14ac:dyDescent="0.25">
      <c r="A60" s="44">
        <v>58</v>
      </c>
      <c r="B60" s="4">
        <v>1.6688000000000001</v>
      </c>
      <c r="C60" s="14">
        <v>26.060518999999999</v>
      </c>
      <c r="D60" s="14">
        <v>19.780384999999999</v>
      </c>
      <c r="E60" s="14">
        <v>74.216504999999998</v>
      </c>
      <c r="F60" s="14">
        <v>61.546120999999999</v>
      </c>
      <c r="G60" s="14">
        <v>20.359812999999999</v>
      </c>
      <c r="H60" s="14">
        <v>20.359812999999999</v>
      </c>
      <c r="I60" s="14">
        <v>1.691557</v>
      </c>
      <c r="J60" s="22">
        <v>2.3500000000000099</v>
      </c>
      <c r="K60" s="34" t="str">
        <f t="shared" si="0"/>
        <v>10/XS</v>
      </c>
      <c r="L60" s="34" t="str">
        <f t="shared" si="1"/>
        <v>X</v>
      </c>
      <c r="M60" s="34" t="str">
        <f t="shared" si="2"/>
        <v>S</v>
      </c>
      <c r="N60" s="44">
        <f t="shared" si="3"/>
        <v>58</v>
      </c>
    </row>
    <row r="61" spans="1:14" x14ac:dyDescent="0.25">
      <c r="A61" s="44">
        <v>59</v>
      </c>
      <c r="B61" s="4">
        <v>1.657</v>
      </c>
      <c r="C61" s="14">
        <v>25.964095</v>
      </c>
      <c r="D61" s="14">
        <v>19.723020999999999</v>
      </c>
      <c r="E61" s="14">
        <v>74.854765999999998</v>
      </c>
      <c r="F61" s="14">
        <v>61.336863999999998</v>
      </c>
      <c r="G61" s="14">
        <v>20.369992</v>
      </c>
      <c r="H61" s="14">
        <v>20.369992</v>
      </c>
      <c r="I61" s="14">
        <v>1.700183</v>
      </c>
      <c r="J61" s="22">
        <v>2.02</v>
      </c>
      <c r="K61" s="34" t="str">
        <f t="shared" si="0"/>
        <v>11/XS</v>
      </c>
      <c r="L61" s="34" t="str">
        <f t="shared" si="1"/>
        <v>X</v>
      </c>
      <c r="M61" s="34" t="str">
        <f t="shared" si="2"/>
        <v>S</v>
      </c>
      <c r="N61" s="44">
        <f t="shared" si="3"/>
        <v>59</v>
      </c>
    </row>
    <row r="62" spans="1:14" x14ac:dyDescent="0.25">
      <c r="A62" s="44">
        <v>60</v>
      </c>
      <c r="B62" s="4">
        <v>1.7891999999999999</v>
      </c>
      <c r="C62" s="14">
        <v>25.943322999999999</v>
      </c>
      <c r="D62" s="14">
        <v>19.794022999999999</v>
      </c>
      <c r="E62" s="14">
        <v>75.161670000000001</v>
      </c>
      <c r="F62" s="14">
        <v>61.962499999999999</v>
      </c>
      <c r="G62" s="14">
        <v>20.384250000000002</v>
      </c>
      <c r="H62" s="14">
        <v>20.384250000000002</v>
      </c>
      <c r="I62" s="14">
        <v>1.6998420000000001</v>
      </c>
      <c r="J62" s="22">
        <v>1.6699999999999899</v>
      </c>
      <c r="K62" s="34" t="str">
        <f t="shared" si="0"/>
        <v>012/XD</v>
      </c>
      <c r="L62" s="34" t="str">
        <f t="shared" si="1"/>
        <v>X</v>
      </c>
      <c r="M62" s="34" t="str">
        <f t="shared" si="2"/>
        <v>D</v>
      </c>
      <c r="N62" s="44">
        <f t="shared" si="3"/>
        <v>60</v>
      </c>
    </row>
    <row r="63" spans="1:14" x14ac:dyDescent="0.25">
      <c r="A63" s="44">
        <v>61</v>
      </c>
      <c r="B63" s="4">
        <v>1.8281000000000001</v>
      </c>
      <c r="C63" s="14">
        <v>26.226105</v>
      </c>
      <c r="D63" s="14">
        <v>20.100829999999998</v>
      </c>
      <c r="E63" s="14">
        <v>75.507413</v>
      </c>
      <c r="F63" s="14">
        <v>62.947702999999997</v>
      </c>
      <c r="G63" s="14">
        <v>20.535093</v>
      </c>
      <c r="H63" s="14">
        <v>20.535093</v>
      </c>
      <c r="I63" s="14">
        <v>1.7132700000000001</v>
      </c>
      <c r="J63" s="22">
        <v>1.6599999999999899</v>
      </c>
      <c r="K63" s="34" t="str">
        <f t="shared" si="0"/>
        <v>01/XD</v>
      </c>
      <c r="L63" s="34" t="str">
        <f t="shared" si="1"/>
        <v>X</v>
      </c>
      <c r="M63" s="34" t="str">
        <f t="shared" si="2"/>
        <v>D</v>
      </c>
      <c r="N63" s="44">
        <f t="shared" si="3"/>
        <v>61</v>
      </c>
    </row>
    <row r="64" spans="1:14" x14ac:dyDescent="0.25">
      <c r="A64" s="44">
        <v>62</v>
      </c>
      <c r="B64" s="4">
        <v>1.8711</v>
      </c>
      <c r="C64" s="14">
        <v>26.420178</v>
      </c>
      <c r="D64" s="14">
        <v>20.414401999999999</v>
      </c>
      <c r="E64" s="14">
        <v>76.028413999999998</v>
      </c>
      <c r="F64" s="14">
        <v>63.860444000000001</v>
      </c>
      <c r="G64" s="14">
        <v>20.648036000000001</v>
      </c>
      <c r="H64" s="14">
        <v>20.648036000000001</v>
      </c>
      <c r="I64" s="14">
        <v>1.727147</v>
      </c>
      <c r="J64" s="22">
        <v>1.57</v>
      </c>
      <c r="K64" s="34" t="str">
        <f t="shared" si="0"/>
        <v>02/XD</v>
      </c>
      <c r="L64" s="34" t="str">
        <f t="shared" si="1"/>
        <v>X</v>
      </c>
      <c r="M64" s="34" t="str">
        <f t="shared" si="2"/>
        <v>D</v>
      </c>
      <c r="N64" s="44">
        <f t="shared" si="3"/>
        <v>62</v>
      </c>
    </row>
    <row r="65" spans="1:14" x14ac:dyDescent="0.25">
      <c r="A65" s="44">
        <v>63</v>
      </c>
      <c r="B65" s="4">
        <v>1.8778999999999999</v>
      </c>
      <c r="C65" s="14">
        <v>26.660601</v>
      </c>
      <c r="D65" s="14">
        <v>20.71041</v>
      </c>
      <c r="E65" s="14">
        <v>76.682258000000004</v>
      </c>
      <c r="F65" s="14">
        <v>64.799192000000005</v>
      </c>
      <c r="G65" s="14">
        <v>20.728563000000001</v>
      </c>
      <c r="H65" s="14">
        <v>20.728563000000001</v>
      </c>
      <c r="I65" s="14">
        <v>1.7352639999999999</v>
      </c>
      <c r="J65" s="22">
        <v>1.49000000000001</v>
      </c>
      <c r="K65" s="34" t="str">
        <f t="shared" si="0"/>
        <v>03/XD</v>
      </c>
      <c r="L65" s="34" t="str">
        <f t="shared" si="1"/>
        <v>X</v>
      </c>
      <c r="M65" s="34" t="str">
        <f t="shared" si="2"/>
        <v>D</v>
      </c>
      <c r="N65" s="44">
        <f t="shared" si="3"/>
        <v>63</v>
      </c>
    </row>
    <row r="66" spans="1:14" x14ac:dyDescent="0.25">
      <c r="A66" s="44">
        <v>64</v>
      </c>
      <c r="B66" s="4">
        <v>1.9794</v>
      </c>
      <c r="C66" s="14">
        <v>26.961865</v>
      </c>
      <c r="D66" s="14">
        <v>21.062486</v>
      </c>
      <c r="E66" s="14">
        <v>77.456748000000005</v>
      </c>
      <c r="F66" s="14">
        <v>66.023895999999993</v>
      </c>
      <c r="G66" s="14">
        <v>20.927557</v>
      </c>
      <c r="H66" s="14">
        <v>20.927557</v>
      </c>
      <c r="I66" s="14">
        <v>1.7491460000000001</v>
      </c>
      <c r="J66" s="22">
        <v>1.3799999999999799</v>
      </c>
      <c r="K66" s="34" t="str">
        <f t="shared" si="0"/>
        <v>04/XD</v>
      </c>
      <c r="L66" s="34" t="str">
        <f t="shared" si="1"/>
        <v>X</v>
      </c>
      <c r="M66" s="34" t="str">
        <f t="shared" si="2"/>
        <v>D</v>
      </c>
      <c r="N66" s="44">
        <f t="shared" si="3"/>
        <v>64</v>
      </c>
    </row>
    <row r="67" spans="1:14" x14ac:dyDescent="0.25">
      <c r="A67" s="44">
        <v>65</v>
      </c>
      <c r="B67" s="4">
        <v>1.9331</v>
      </c>
      <c r="C67" s="14">
        <v>27.360900000000001</v>
      </c>
      <c r="D67" s="14">
        <v>21.565878999999999</v>
      </c>
      <c r="E67" s="14">
        <v>78.161603999999997</v>
      </c>
      <c r="F67" s="14">
        <v>67.694299999999998</v>
      </c>
      <c r="G67" s="14">
        <v>21.124275999999998</v>
      </c>
      <c r="H67" s="14">
        <v>21.124275999999998</v>
      </c>
      <c r="I67" s="14">
        <v>1.766462</v>
      </c>
      <c r="J67" s="22">
        <v>1.39</v>
      </c>
      <c r="K67" s="34" t="str">
        <f t="shared" si="0"/>
        <v>05/XD</v>
      </c>
      <c r="L67" s="34" t="str">
        <f t="shared" si="1"/>
        <v>X</v>
      </c>
      <c r="M67" s="34" t="str">
        <f t="shared" si="2"/>
        <v>D</v>
      </c>
      <c r="N67" s="44">
        <f t="shared" si="3"/>
        <v>65</v>
      </c>
    </row>
    <row r="68" spans="1:14" x14ac:dyDescent="0.25">
      <c r="A68" s="44">
        <v>66</v>
      </c>
      <c r="B68" s="4">
        <v>1.8501000000000001</v>
      </c>
      <c r="C68" s="14">
        <v>27.494968</v>
      </c>
      <c r="D68" s="14">
        <v>21.956220999999999</v>
      </c>
      <c r="E68" s="14">
        <v>78.974484000000004</v>
      </c>
      <c r="F68" s="14">
        <v>68.526938999999999</v>
      </c>
      <c r="G68" s="14">
        <v>21.280595000000002</v>
      </c>
      <c r="H68" s="14">
        <v>21.280595000000002</v>
      </c>
      <c r="I68" s="14">
        <v>1.7825359999999999</v>
      </c>
      <c r="J68" s="22">
        <v>1.6</v>
      </c>
      <c r="K68" s="34" t="str">
        <f t="shared" ref="K68:K131" si="4">CONCATENATE(IF(AND((A68/12-ROUNDDOWN(A68/12,0))*12&lt;10,A68&lt;&gt;12),"0",""),IF((A68/12-ROUNDDOWN(A68/12,0))*12=0,12,ROUND((A68/12-ROUNDDOWN(A68/12,0))*12,0)),"/",L68,M68)</f>
        <v>06/XD</v>
      </c>
      <c r="L68" s="34" t="str">
        <f t="shared" ref="L68:L131" si="5">VLOOKUP(ROUNDDOWN(A68/120,0),$O$3:$P$12,2,FALSE)</f>
        <v>X</v>
      </c>
      <c r="M68" s="34" t="str">
        <f t="shared" ref="M68:M131" si="6">VLOOKUP(ROUNDDOWN(A68/12,0)-ROUNDDOWN(A68/120,0)*10,$O$3:$P$12,2,FALSE)</f>
        <v>D</v>
      </c>
      <c r="N68" s="44">
        <f t="shared" ref="N68:N131" si="7">A68</f>
        <v>66</v>
      </c>
    </row>
    <row r="69" spans="1:14" x14ac:dyDescent="0.25">
      <c r="A69" s="44">
        <v>67</v>
      </c>
      <c r="B69" s="4">
        <v>1.7997000000000001</v>
      </c>
      <c r="C69" s="14">
        <v>27.651689000000001</v>
      </c>
      <c r="D69" s="14">
        <v>22.228477999999999</v>
      </c>
      <c r="E69" s="14">
        <v>79.819509999999994</v>
      </c>
      <c r="F69" s="14">
        <v>69.225913000000006</v>
      </c>
      <c r="G69" s="14">
        <v>21.410405999999998</v>
      </c>
      <c r="H69" s="14">
        <v>21.410405999999998</v>
      </c>
      <c r="I69" s="14">
        <v>1.794122</v>
      </c>
      <c r="J69" s="22">
        <v>1.4600000000000199</v>
      </c>
      <c r="K69" s="34" t="str">
        <f t="shared" si="4"/>
        <v>07/XD</v>
      </c>
      <c r="L69" s="34" t="str">
        <f t="shared" si="5"/>
        <v>X</v>
      </c>
      <c r="M69" s="34" t="str">
        <f t="shared" si="6"/>
        <v>D</v>
      </c>
      <c r="N69" s="44">
        <f t="shared" si="7"/>
        <v>67</v>
      </c>
    </row>
    <row r="70" spans="1:14" x14ac:dyDescent="0.25">
      <c r="A70" s="44">
        <v>68</v>
      </c>
      <c r="B70" s="4">
        <v>1.7764</v>
      </c>
      <c r="C70" s="14">
        <v>27.588090000000001</v>
      </c>
      <c r="D70" s="14">
        <v>22.306277000000001</v>
      </c>
      <c r="E70" s="14">
        <v>80.434119999999993</v>
      </c>
      <c r="F70" s="14">
        <v>69.357442000000006</v>
      </c>
      <c r="G70" s="14">
        <v>21.421111</v>
      </c>
      <c r="H70" s="14">
        <v>21.421111</v>
      </c>
      <c r="I70" s="14">
        <v>1.800222</v>
      </c>
      <c r="J70" s="22">
        <v>1.45</v>
      </c>
      <c r="K70" s="34" t="str">
        <f t="shared" si="4"/>
        <v>08/XD</v>
      </c>
      <c r="L70" s="34" t="str">
        <f t="shared" si="5"/>
        <v>X</v>
      </c>
      <c r="M70" s="34" t="str">
        <f t="shared" si="6"/>
        <v>D</v>
      </c>
      <c r="N70" s="44">
        <f t="shared" si="7"/>
        <v>68</v>
      </c>
    </row>
    <row r="71" spans="1:14" x14ac:dyDescent="0.25">
      <c r="A71" s="44">
        <v>69</v>
      </c>
      <c r="B71" s="4">
        <v>1.7431000000000001</v>
      </c>
      <c r="C71" s="14">
        <v>27.651541999999999</v>
      </c>
      <c r="D71" s="14">
        <v>22.339735999999998</v>
      </c>
      <c r="E71" s="14">
        <v>80.884551000000002</v>
      </c>
      <c r="F71" s="14">
        <v>69.482285000000005</v>
      </c>
      <c r="G71" s="14">
        <v>21.448958000000001</v>
      </c>
      <c r="H71" s="14">
        <v>21.448958000000001</v>
      </c>
      <c r="I71" s="14">
        <v>1.8018419999999999</v>
      </c>
      <c r="J71" s="22">
        <v>1.45</v>
      </c>
      <c r="K71" s="34" t="str">
        <f t="shared" si="4"/>
        <v>09/XD</v>
      </c>
      <c r="L71" s="34" t="str">
        <f t="shared" si="5"/>
        <v>X</v>
      </c>
      <c r="M71" s="34" t="str">
        <f t="shared" si="6"/>
        <v>D</v>
      </c>
      <c r="N71" s="44">
        <f t="shared" si="7"/>
        <v>69</v>
      </c>
    </row>
    <row r="72" spans="1:14" x14ac:dyDescent="0.25">
      <c r="A72" s="44">
        <v>70</v>
      </c>
      <c r="B72" s="4">
        <v>1.7833000000000001</v>
      </c>
      <c r="C72" s="14">
        <v>27.676428000000001</v>
      </c>
      <c r="D72" s="14">
        <v>22.391117000000001</v>
      </c>
      <c r="E72" s="14">
        <v>81.369857999999994</v>
      </c>
      <c r="F72" s="14">
        <v>69.572610999999995</v>
      </c>
      <c r="G72" s="14">
        <v>21.468261999999999</v>
      </c>
      <c r="H72" s="14">
        <v>21.468261999999999</v>
      </c>
      <c r="I72" s="14">
        <v>1.8103100000000001</v>
      </c>
      <c r="J72" s="22">
        <v>1.2999999999999901</v>
      </c>
      <c r="K72" s="34" t="str">
        <f t="shared" si="4"/>
        <v>10/XD</v>
      </c>
      <c r="L72" s="34" t="str">
        <f t="shared" si="5"/>
        <v>X</v>
      </c>
      <c r="M72" s="34" t="str">
        <f t="shared" si="6"/>
        <v>D</v>
      </c>
      <c r="N72" s="44">
        <f t="shared" si="7"/>
        <v>70</v>
      </c>
    </row>
    <row r="73" spans="1:14" x14ac:dyDescent="0.25">
      <c r="A73" s="44">
        <v>71</v>
      </c>
      <c r="B73" s="4">
        <v>1.8382000000000001</v>
      </c>
      <c r="C73" s="14">
        <v>27.684729999999998</v>
      </c>
      <c r="D73" s="14">
        <v>22.460529000000001</v>
      </c>
      <c r="E73" s="14">
        <v>82.468350999999998</v>
      </c>
      <c r="F73" s="14">
        <v>70.038747000000001</v>
      </c>
      <c r="G73" s="14">
        <v>21.457526999999999</v>
      </c>
      <c r="H73" s="14">
        <v>21.457526999999999</v>
      </c>
      <c r="I73" s="14">
        <v>1.811939</v>
      </c>
      <c r="J73" s="22">
        <v>1.49000000000001</v>
      </c>
      <c r="K73" s="34" t="str">
        <f t="shared" si="4"/>
        <v>11/XD</v>
      </c>
      <c r="L73" s="34" t="str">
        <f t="shared" si="5"/>
        <v>X</v>
      </c>
      <c r="M73" s="34" t="str">
        <f t="shared" si="6"/>
        <v>D</v>
      </c>
      <c r="N73" s="44">
        <f t="shared" si="7"/>
        <v>71</v>
      </c>
    </row>
    <row r="74" spans="1:14" x14ac:dyDescent="0.25">
      <c r="A74" s="44">
        <v>72</v>
      </c>
      <c r="B74" s="4">
        <v>1.8079000000000001</v>
      </c>
      <c r="C74" s="14">
        <v>27.734562</v>
      </c>
      <c r="D74" s="14">
        <v>22.651443</v>
      </c>
      <c r="E74" s="14">
        <v>83.070368999999999</v>
      </c>
      <c r="F74" s="14">
        <v>70.690106999999998</v>
      </c>
      <c r="G74" s="14">
        <v>21.521899000000001</v>
      </c>
      <c r="H74" s="14">
        <v>21.521899000000001</v>
      </c>
      <c r="I74" s="14">
        <v>1.813388</v>
      </c>
      <c r="J74" s="22">
        <v>1.39</v>
      </c>
      <c r="K74" s="34" t="str">
        <f t="shared" si="4"/>
        <v>012/XF</v>
      </c>
      <c r="L74" s="34" t="str">
        <f t="shared" si="5"/>
        <v>X</v>
      </c>
      <c r="M74" s="34" t="str">
        <f t="shared" si="6"/>
        <v>F</v>
      </c>
      <c r="N74" s="44">
        <f t="shared" si="7"/>
        <v>72</v>
      </c>
    </row>
    <row r="75" spans="1:14" x14ac:dyDescent="0.25">
      <c r="A75" s="44">
        <v>73</v>
      </c>
      <c r="B75" s="4">
        <v>1.8106</v>
      </c>
      <c r="C75" s="14">
        <v>28.122845000000002</v>
      </c>
      <c r="D75" s="14">
        <v>23.007069999999999</v>
      </c>
      <c r="E75" s="14">
        <v>83.319580000000002</v>
      </c>
      <c r="F75" s="14">
        <v>72.287702999999993</v>
      </c>
      <c r="G75" s="14">
        <v>21.821052999999999</v>
      </c>
      <c r="H75" s="14">
        <v>21.821052999999999</v>
      </c>
      <c r="I75" s="14">
        <v>1.8275319999999999</v>
      </c>
      <c r="J75" s="22">
        <v>1.3099999999999901</v>
      </c>
      <c r="K75" s="34" t="str">
        <f t="shared" si="4"/>
        <v>01/XF</v>
      </c>
      <c r="L75" s="34" t="str">
        <f t="shared" si="5"/>
        <v>X</v>
      </c>
      <c r="M75" s="34" t="str">
        <f t="shared" si="6"/>
        <v>F</v>
      </c>
      <c r="N75" s="44">
        <f t="shared" si="7"/>
        <v>73</v>
      </c>
    </row>
    <row r="76" spans="1:14" x14ac:dyDescent="0.25">
      <c r="A76" s="44">
        <v>74</v>
      </c>
      <c r="B76" s="4">
        <v>1.8056000000000001</v>
      </c>
      <c r="C76" s="14">
        <v>28.558748999999999</v>
      </c>
      <c r="D76" s="14">
        <v>23.556937999999999</v>
      </c>
      <c r="E76" s="14">
        <v>83.644525999999999</v>
      </c>
      <c r="F76" s="14">
        <v>73.603339000000005</v>
      </c>
      <c r="G76" s="14">
        <v>22.085087000000001</v>
      </c>
      <c r="H76" s="13">
        <v>22.085087000000001</v>
      </c>
      <c r="I76" s="13">
        <v>1.863899</v>
      </c>
      <c r="J76" s="22">
        <v>1.41</v>
      </c>
      <c r="K76" s="34" t="str">
        <f t="shared" si="4"/>
        <v>02/XF</v>
      </c>
      <c r="L76" s="34" t="str">
        <f t="shared" si="5"/>
        <v>X</v>
      </c>
      <c r="M76" s="34" t="str">
        <f t="shared" si="6"/>
        <v>F</v>
      </c>
      <c r="N76" s="44">
        <f t="shared" si="7"/>
        <v>74</v>
      </c>
    </row>
    <row r="77" spans="1:14" x14ac:dyDescent="0.25">
      <c r="A77" s="44">
        <v>75</v>
      </c>
      <c r="B77" s="4">
        <v>1.8438000000000001</v>
      </c>
      <c r="C77" s="13">
        <v>28.635857000000001</v>
      </c>
      <c r="D77" s="13">
        <v>23.830197999999999</v>
      </c>
      <c r="E77" s="13">
        <v>83.862001000000006</v>
      </c>
      <c r="F77" s="13">
        <v>74.111202000000006</v>
      </c>
      <c r="G77" s="13">
        <v>22.180052</v>
      </c>
      <c r="H77" s="14">
        <v>22.180052</v>
      </c>
      <c r="I77" s="14">
        <v>1.8722859999999999</v>
      </c>
      <c r="J77" s="22">
        <v>1.22</v>
      </c>
      <c r="K77" s="34" t="str">
        <f t="shared" si="4"/>
        <v>03/XF</v>
      </c>
      <c r="L77" s="34" t="str">
        <f t="shared" si="5"/>
        <v>X</v>
      </c>
      <c r="M77" s="34" t="str">
        <f t="shared" si="6"/>
        <v>F</v>
      </c>
      <c r="N77" s="44">
        <f t="shared" si="7"/>
        <v>75</v>
      </c>
    </row>
    <row r="78" spans="1:14" x14ac:dyDescent="0.25">
      <c r="A78" s="44">
        <v>76</v>
      </c>
      <c r="B78" s="4">
        <v>1.8764000000000001</v>
      </c>
      <c r="C78" s="14">
        <v>28.638719999999999</v>
      </c>
      <c r="D78" s="14">
        <v>23.920752</v>
      </c>
      <c r="E78" s="14">
        <v>84.138745</v>
      </c>
      <c r="F78" s="14">
        <v>74.385413</v>
      </c>
      <c r="G78" s="14">
        <v>22.215540000000001</v>
      </c>
      <c r="H78" s="14">
        <v>22.215540000000001</v>
      </c>
      <c r="I78" s="14">
        <v>1.875656</v>
      </c>
      <c r="J78" s="22">
        <v>1.29000000000001</v>
      </c>
      <c r="K78" s="34" t="str">
        <f t="shared" si="4"/>
        <v>04/XF</v>
      </c>
      <c r="L78" s="34" t="str">
        <f t="shared" si="5"/>
        <v>X</v>
      </c>
      <c r="M78" s="34" t="str">
        <f t="shared" si="6"/>
        <v>F</v>
      </c>
      <c r="N78" s="44">
        <f t="shared" si="7"/>
        <v>76</v>
      </c>
    </row>
    <row r="79" spans="1:14" x14ac:dyDescent="0.25">
      <c r="A79" s="44">
        <v>77</v>
      </c>
      <c r="B79" s="4">
        <v>1.9440999999999999</v>
      </c>
      <c r="C79" s="14">
        <v>28.624400000000001</v>
      </c>
      <c r="D79" s="14">
        <v>23.990122</v>
      </c>
      <c r="E79" s="14">
        <v>84.483712999999995</v>
      </c>
      <c r="F79" s="14">
        <v>74.675516000000002</v>
      </c>
      <c r="G79" s="14">
        <v>22.279965000000001</v>
      </c>
      <c r="H79" s="13">
        <v>22.279965000000001</v>
      </c>
      <c r="I79" s="13">
        <v>1.878844</v>
      </c>
      <c r="J79" s="22">
        <v>1.22</v>
      </c>
      <c r="K79" s="34" t="str">
        <f t="shared" si="4"/>
        <v>05/XF</v>
      </c>
      <c r="L79" s="34" t="str">
        <f t="shared" si="5"/>
        <v>X</v>
      </c>
      <c r="M79" s="34" t="str">
        <f t="shared" si="6"/>
        <v>F</v>
      </c>
      <c r="N79" s="44">
        <f t="shared" si="7"/>
        <v>77</v>
      </c>
    </row>
    <row r="80" spans="1:14" x14ac:dyDescent="0.25">
      <c r="A80" s="44">
        <v>78</v>
      </c>
      <c r="B80" s="4">
        <v>1.9678</v>
      </c>
      <c r="C80" s="14">
        <v>28.698823000000001</v>
      </c>
      <c r="D80" s="14">
        <v>24.141259000000002</v>
      </c>
      <c r="E80" s="14">
        <v>85.024407999999994</v>
      </c>
      <c r="F80" s="14">
        <v>75.243048999999999</v>
      </c>
      <c r="G80" s="14">
        <v>22.402504</v>
      </c>
      <c r="H80" s="13">
        <v>22.402504</v>
      </c>
      <c r="I80" s="13">
        <v>1.890117</v>
      </c>
      <c r="J80" s="22">
        <v>1.2</v>
      </c>
      <c r="K80" s="34" t="str">
        <f t="shared" si="4"/>
        <v>06/XF</v>
      </c>
      <c r="L80" s="34" t="str">
        <f t="shared" si="5"/>
        <v>X</v>
      </c>
      <c r="M80" s="34" t="str">
        <f t="shared" si="6"/>
        <v>F</v>
      </c>
      <c r="N80" s="44">
        <f t="shared" si="7"/>
        <v>78</v>
      </c>
    </row>
    <row r="81" spans="1:14" x14ac:dyDescent="0.25">
      <c r="A81" s="44">
        <v>79</v>
      </c>
      <c r="B81" s="4">
        <v>1.9475</v>
      </c>
      <c r="C81" s="14">
        <v>28.807877999999999</v>
      </c>
      <c r="D81" s="14">
        <v>24.290934</v>
      </c>
      <c r="E81" s="14">
        <v>85.517549000000002</v>
      </c>
      <c r="F81" s="14">
        <v>75.611739</v>
      </c>
      <c r="G81" s="14">
        <v>22.575002999999999</v>
      </c>
      <c r="H81" s="13">
        <v>22.575002999999999</v>
      </c>
      <c r="I81" s="13">
        <v>1.9020239999999999</v>
      </c>
      <c r="J81" s="22">
        <v>1.26999999999999</v>
      </c>
      <c r="K81" s="34" t="str">
        <f t="shared" si="4"/>
        <v>07/XF</v>
      </c>
      <c r="L81" s="34" t="str">
        <f t="shared" si="5"/>
        <v>X</v>
      </c>
      <c r="M81" s="34" t="str">
        <f t="shared" si="6"/>
        <v>F</v>
      </c>
      <c r="N81" s="44">
        <f t="shared" si="7"/>
        <v>79</v>
      </c>
    </row>
    <row r="82" spans="1:14" x14ac:dyDescent="0.25">
      <c r="A82" s="44">
        <v>80</v>
      </c>
      <c r="B82" s="4">
        <v>1.9812000000000001</v>
      </c>
      <c r="C82" s="14">
        <v>28.839566000000001</v>
      </c>
      <c r="D82" s="14">
        <v>24.346803000000001</v>
      </c>
      <c r="E82" s="14">
        <v>85.808307999999997</v>
      </c>
      <c r="F82" s="14">
        <v>75.868818000000005</v>
      </c>
      <c r="G82" s="14">
        <v>22.68562</v>
      </c>
      <c r="H82" s="13">
        <v>22.68562</v>
      </c>
      <c r="I82" s="13">
        <v>1.9115340000000001</v>
      </c>
      <c r="J82" s="22">
        <v>1.02</v>
      </c>
      <c r="K82" s="34" t="str">
        <f t="shared" si="4"/>
        <v>08/XF</v>
      </c>
      <c r="L82" s="34" t="str">
        <f t="shared" si="5"/>
        <v>X</v>
      </c>
      <c r="M82" s="34" t="str">
        <f t="shared" si="6"/>
        <v>F</v>
      </c>
      <c r="N82" s="44">
        <f t="shared" si="7"/>
        <v>80</v>
      </c>
    </row>
    <row r="83" spans="1:14" x14ac:dyDescent="0.25">
      <c r="A83" s="44">
        <v>81</v>
      </c>
      <c r="B83" s="4">
        <v>2.0863999999999998</v>
      </c>
      <c r="C83" s="14">
        <v>28.986647000000001</v>
      </c>
      <c r="D83" s="14">
        <v>24.483145</v>
      </c>
      <c r="E83" s="14">
        <v>86.039990000000003</v>
      </c>
      <c r="F83" s="14">
        <v>76.475768000000002</v>
      </c>
      <c r="G83" s="14">
        <v>22.794509999999999</v>
      </c>
      <c r="H83" s="14">
        <v>22.794509999999999</v>
      </c>
      <c r="I83" s="14">
        <v>1.918415</v>
      </c>
      <c r="J83" s="22">
        <v>1.25999999999999</v>
      </c>
      <c r="K83" s="34" t="str">
        <f t="shared" si="4"/>
        <v>09/XF</v>
      </c>
      <c r="L83" s="34" t="str">
        <f t="shared" si="5"/>
        <v>X</v>
      </c>
      <c r="M83" s="34" t="str">
        <f t="shared" si="6"/>
        <v>F</v>
      </c>
      <c r="N83" s="44">
        <f t="shared" si="7"/>
        <v>81</v>
      </c>
    </row>
    <row r="84" spans="1:14" x14ac:dyDescent="0.25">
      <c r="A84" s="44">
        <v>82</v>
      </c>
      <c r="B84" s="4">
        <v>2.1573000000000002</v>
      </c>
      <c r="C84" s="14">
        <v>29.163464999999999</v>
      </c>
      <c r="D84" s="14">
        <v>24.727976000000002</v>
      </c>
      <c r="E84" s="14">
        <v>86.349733000000001</v>
      </c>
      <c r="F84" s="14">
        <v>77.339944000000003</v>
      </c>
      <c r="G84" s="14">
        <v>22.985983000000001</v>
      </c>
      <c r="H84" s="14">
        <v>22.985983000000001</v>
      </c>
      <c r="I84" s="14">
        <v>1.928007</v>
      </c>
      <c r="J84" s="22">
        <v>1.19</v>
      </c>
      <c r="K84" s="34" t="str">
        <f t="shared" si="4"/>
        <v>10/XF</v>
      </c>
      <c r="L84" s="34" t="str">
        <f t="shared" si="5"/>
        <v>X</v>
      </c>
      <c r="M84" s="34" t="str">
        <f t="shared" si="6"/>
        <v>F</v>
      </c>
      <c r="N84" s="44">
        <f t="shared" si="7"/>
        <v>82</v>
      </c>
    </row>
    <row r="85" spans="1:14" x14ac:dyDescent="0.25">
      <c r="A85" s="44">
        <v>83</v>
      </c>
      <c r="B85" s="4">
        <v>2.3384</v>
      </c>
      <c r="C85" s="13">
        <v>29.213042000000002</v>
      </c>
      <c r="D85" s="13">
        <v>24.940636000000001</v>
      </c>
      <c r="E85" s="13">
        <v>88.171711999999999</v>
      </c>
      <c r="F85" s="13">
        <v>77.680239</v>
      </c>
      <c r="G85" s="13">
        <v>23.117003</v>
      </c>
      <c r="H85" s="14">
        <v>23.117003</v>
      </c>
      <c r="I85" s="14">
        <v>1.937454</v>
      </c>
      <c r="J85" s="22">
        <v>1.3400000000000101</v>
      </c>
      <c r="K85" s="34" t="str">
        <f t="shared" si="4"/>
        <v>11/XF</v>
      </c>
      <c r="L85" s="34" t="str">
        <f t="shared" si="5"/>
        <v>X</v>
      </c>
      <c r="M85" s="34" t="str">
        <f t="shared" si="6"/>
        <v>F</v>
      </c>
      <c r="N85" s="44">
        <f t="shared" si="7"/>
        <v>83</v>
      </c>
    </row>
    <row r="86" spans="1:14" x14ac:dyDescent="0.25">
      <c r="A86" s="44">
        <v>84</v>
      </c>
      <c r="B86" s="4">
        <v>2.4079000000000002</v>
      </c>
      <c r="C86" s="13">
        <v>29.461352000000002</v>
      </c>
      <c r="D86" s="13">
        <v>25.185054000000001</v>
      </c>
      <c r="E86" s="13">
        <v>89.194502999999997</v>
      </c>
      <c r="F86" s="13">
        <v>78.814369999999997</v>
      </c>
      <c r="G86" s="13">
        <v>23.255704999999999</v>
      </c>
      <c r="H86" s="14">
        <v>23.255704999999999</v>
      </c>
      <c r="I86" s="14">
        <v>1.9448160000000001</v>
      </c>
      <c r="J86" s="22">
        <v>1.26999999999999</v>
      </c>
      <c r="K86" s="34" t="str">
        <f t="shared" si="4"/>
        <v>012/XQ</v>
      </c>
      <c r="L86" s="34" t="str">
        <f t="shared" si="5"/>
        <v>X</v>
      </c>
      <c r="M86" s="34" t="str">
        <f t="shared" si="6"/>
        <v>Q</v>
      </c>
      <c r="N86" s="44">
        <f t="shared" si="7"/>
        <v>84</v>
      </c>
    </row>
    <row r="87" spans="1:14" x14ac:dyDescent="0.25">
      <c r="A87" s="44">
        <v>85</v>
      </c>
      <c r="B87" s="4">
        <v>2.5537999999999998</v>
      </c>
      <c r="C87" s="13">
        <v>29.817834000000001</v>
      </c>
      <c r="D87" s="13">
        <v>25.557791999999999</v>
      </c>
      <c r="E87" s="13">
        <v>89.658314000000004</v>
      </c>
      <c r="F87" s="13">
        <v>80.091161999999997</v>
      </c>
      <c r="G87" s="13">
        <v>23.513843000000001</v>
      </c>
      <c r="H87" s="14">
        <v>23.513843000000001</v>
      </c>
      <c r="I87" s="14">
        <v>1.9630970000000001</v>
      </c>
      <c r="J87" s="22">
        <v>1.49999999999999</v>
      </c>
      <c r="K87" s="34" t="str">
        <f t="shared" si="4"/>
        <v>01/XQ</v>
      </c>
      <c r="L87" s="34" t="str">
        <f t="shared" si="5"/>
        <v>X</v>
      </c>
      <c r="M87" s="34" t="str">
        <f t="shared" si="6"/>
        <v>Q</v>
      </c>
      <c r="N87" s="44">
        <f t="shared" si="7"/>
        <v>85</v>
      </c>
    </row>
    <row r="88" spans="1:14" x14ac:dyDescent="0.25">
      <c r="A88" s="44">
        <v>86</v>
      </c>
      <c r="B88" s="4">
        <v>2.5005000000000002</v>
      </c>
      <c r="C88" s="14">
        <v>30.160739</v>
      </c>
      <c r="D88" s="14">
        <v>25.910488999999998</v>
      </c>
      <c r="E88" s="14">
        <v>90.214195000000004</v>
      </c>
      <c r="F88" s="14">
        <v>80.811982</v>
      </c>
      <c r="G88" s="14">
        <v>23.699601999999999</v>
      </c>
      <c r="H88" s="14">
        <v>23.699601999999999</v>
      </c>
      <c r="I88" s="14">
        <v>1.9862610000000001</v>
      </c>
      <c r="J88" s="22">
        <v>1.6</v>
      </c>
      <c r="K88" s="34" t="str">
        <f t="shared" si="4"/>
        <v>02/XQ</v>
      </c>
      <c r="L88" s="34" t="str">
        <f t="shared" si="5"/>
        <v>X</v>
      </c>
      <c r="M88" s="34" t="str">
        <f t="shared" si="6"/>
        <v>Q</v>
      </c>
      <c r="N88" s="44">
        <f t="shared" si="7"/>
        <v>86</v>
      </c>
    </row>
    <row r="89" spans="1:14" x14ac:dyDescent="0.25">
      <c r="A89" s="44">
        <v>87</v>
      </c>
      <c r="B89" s="4">
        <v>2.6985999999999999</v>
      </c>
      <c r="C89" s="14">
        <v>30.257252999999999</v>
      </c>
      <c r="D89" s="14">
        <v>25.990811000000001</v>
      </c>
      <c r="E89" s="14">
        <v>90.710373000000004</v>
      </c>
      <c r="F89" s="14">
        <v>81.119067000000001</v>
      </c>
      <c r="G89" s="14">
        <v>23.803879999999999</v>
      </c>
      <c r="H89" s="14">
        <v>23.803879999999999</v>
      </c>
      <c r="I89" s="14">
        <v>1.993808</v>
      </c>
      <c r="J89" s="22">
        <v>1.3200000000000101</v>
      </c>
      <c r="K89" s="34" t="str">
        <f t="shared" si="4"/>
        <v>03/XQ</v>
      </c>
      <c r="L89" s="34" t="str">
        <f t="shared" si="5"/>
        <v>X</v>
      </c>
      <c r="M89" s="34" t="str">
        <f t="shared" si="6"/>
        <v>Q</v>
      </c>
      <c r="N89" s="44">
        <f t="shared" si="7"/>
        <v>87</v>
      </c>
    </row>
    <row r="90" spans="1:14" x14ac:dyDescent="0.25">
      <c r="A90" s="44">
        <v>88</v>
      </c>
      <c r="B90" s="4">
        <v>2.7789999999999999</v>
      </c>
      <c r="C90" s="14">
        <v>30.481155999999999</v>
      </c>
      <c r="D90" s="14">
        <v>26.297502000000001</v>
      </c>
      <c r="E90" s="14">
        <v>91.553978999999998</v>
      </c>
      <c r="F90" s="14">
        <v>82.295293000000001</v>
      </c>
      <c r="G90" s="14">
        <v>24.027636000000001</v>
      </c>
      <c r="H90" s="14">
        <v>24.027636000000001</v>
      </c>
      <c r="I90" s="14">
        <v>2.001185</v>
      </c>
      <c r="J90" s="22">
        <v>1.53000000000001</v>
      </c>
      <c r="K90" s="34" t="str">
        <f t="shared" si="4"/>
        <v>04/XQ</v>
      </c>
      <c r="L90" s="34" t="str">
        <f t="shared" si="5"/>
        <v>X</v>
      </c>
      <c r="M90" s="34" t="str">
        <f t="shared" si="6"/>
        <v>Q</v>
      </c>
      <c r="N90" s="44">
        <f t="shared" si="7"/>
        <v>88</v>
      </c>
    </row>
    <row r="91" spans="1:14" x14ac:dyDescent="0.25">
      <c r="A91" s="44">
        <v>89</v>
      </c>
      <c r="B91" s="4">
        <v>2.5299</v>
      </c>
      <c r="C91" s="14">
        <v>30.667090999999999</v>
      </c>
      <c r="D91" s="14">
        <v>26.586773999999998</v>
      </c>
      <c r="E91" s="14">
        <v>92.231477999999996</v>
      </c>
      <c r="F91" s="14">
        <v>82.920737000000003</v>
      </c>
      <c r="G91" s="14">
        <v>24.337592000000001</v>
      </c>
      <c r="H91" s="14">
        <v>24.337592000000001</v>
      </c>
      <c r="I91" s="14">
        <v>2.0209959999999998</v>
      </c>
      <c r="J91" s="22">
        <v>1.3899999999999799</v>
      </c>
      <c r="K91" s="34" t="str">
        <f t="shared" si="4"/>
        <v>05/XQ</v>
      </c>
      <c r="L91" s="34" t="str">
        <f t="shared" si="5"/>
        <v>X</v>
      </c>
      <c r="M91" s="34" t="str">
        <f t="shared" si="6"/>
        <v>Q</v>
      </c>
      <c r="N91" s="44">
        <f t="shared" si="7"/>
        <v>89</v>
      </c>
    </row>
    <row r="92" spans="1:14" x14ac:dyDescent="0.25">
      <c r="A92" s="44">
        <v>90</v>
      </c>
      <c r="B92" s="4">
        <v>2.3839999999999999</v>
      </c>
      <c r="C92" s="14">
        <v>30.743758</v>
      </c>
      <c r="D92" s="14">
        <v>26.645264000000001</v>
      </c>
      <c r="E92" s="14">
        <v>92.545064999999994</v>
      </c>
      <c r="F92" s="14">
        <v>83.069993999999994</v>
      </c>
      <c r="G92" s="14">
        <v>24.517690000000002</v>
      </c>
      <c r="H92" s="14">
        <v>24.517690000000002</v>
      </c>
      <c r="I92" s="14">
        <v>2.032111</v>
      </c>
      <c r="J92" s="22">
        <v>1.39</v>
      </c>
      <c r="K92" s="34" t="str">
        <f t="shared" si="4"/>
        <v>06/XQ</v>
      </c>
      <c r="L92" s="34" t="str">
        <f t="shared" si="5"/>
        <v>X</v>
      </c>
      <c r="M92" s="34" t="str">
        <f t="shared" si="6"/>
        <v>Q</v>
      </c>
      <c r="N92" s="44">
        <f t="shared" si="7"/>
        <v>90</v>
      </c>
    </row>
    <row r="93" spans="1:14" x14ac:dyDescent="0.25">
      <c r="A93" s="44">
        <v>91</v>
      </c>
      <c r="B93" s="4">
        <v>2.3704999999999998</v>
      </c>
      <c r="C93" s="14">
        <v>30.918997000000001</v>
      </c>
      <c r="D93" s="14">
        <v>26.741185999999999</v>
      </c>
      <c r="E93" s="14">
        <v>92.878226999999995</v>
      </c>
      <c r="F93" s="14">
        <v>83.227825999999993</v>
      </c>
      <c r="G93" s="14">
        <v>24.780028999999999</v>
      </c>
      <c r="H93" s="14">
        <v>24.780028999999999</v>
      </c>
      <c r="I93" s="14">
        <v>2.0447099999999998</v>
      </c>
      <c r="J93" s="22">
        <v>1.53000000000001</v>
      </c>
      <c r="K93" s="34" t="str">
        <f t="shared" si="4"/>
        <v>07/XQ</v>
      </c>
      <c r="L93" s="34" t="str">
        <f t="shared" si="5"/>
        <v>X</v>
      </c>
      <c r="M93" s="34" t="str">
        <f t="shared" si="6"/>
        <v>Q</v>
      </c>
      <c r="N93" s="44">
        <f t="shared" si="7"/>
        <v>91</v>
      </c>
    </row>
    <row r="94" spans="1:14" x14ac:dyDescent="0.25">
      <c r="A94" s="44">
        <v>92</v>
      </c>
      <c r="B94" s="4">
        <v>2.4380000000000002</v>
      </c>
      <c r="C94" s="14">
        <v>30.999386000000001</v>
      </c>
      <c r="D94" s="14">
        <v>26.75723</v>
      </c>
      <c r="E94" s="14">
        <v>93.416920000000005</v>
      </c>
      <c r="F94" s="14">
        <v>83.377635999999995</v>
      </c>
      <c r="G94" s="14">
        <v>24.856846999999998</v>
      </c>
      <c r="H94" s="14">
        <v>24.856846999999998</v>
      </c>
      <c r="I94" s="14">
        <v>2.053706</v>
      </c>
      <c r="J94" s="22">
        <v>1.25</v>
      </c>
      <c r="K94" s="34" t="str">
        <f t="shared" si="4"/>
        <v>08/XQ</v>
      </c>
      <c r="L94" s="34" t="str">
        <f t="shared" si="5"/>
        <v>X</v>
      </c>
      <c r="M94" s="34" t="str">
        <f t="shared" si="6"/>
        <v>Q</v>
      </c>
      <c r="N94" s="44">
        <f t="shared" si="7"/>
        <v>92</v>
      </c>
    </row>
    <row r="95" spans="1:14" x14ac:dyDescent="0.25">
      <c r="A95" s="44">
        <v>93</v>
      </c>
      <c r="B95" s="4">
        <v>2.3542000000000001</v>
      </c>
      <c r="C95" s="14">
        <v>31.021084999999999</v>
      </c>
      <c r="D95" s="14">
        <v>26.781310999999999</v>
      </c>
      <c r="E95" s="14">
        <v>93.930712999999997</v>
      </c>
      <c r="F95" s="14">
        <v>83.469351000000003</v>
      </c>
      <c r="G95" s="14">
        <v>25.010959</v>
      </c>
      <c r="H95" s="14">
        <v>25.010959</v>
      </c>
      <c r="I95" s="14">
        <v>2.0619200000000002</v>
      </c>
      <c r="J95" s="22">
        <v>1.37</v>
      </c>
      <c r="K95" s="34" t="str">
        <f t="shared" si="4"/>
        <v>09/XQ</v>
      </c>
      <c r="L95" s="34" t="str">
        <f t="shared" si="5"/>
        <v>X</v>
      </c>
      <c r="M95" s="34" t="str">
        <f t="shared" si="6"/>
        <v>Q</v>
      </c>
      <c r="N95" s="44">
        <f t="shared" si="7"/>
        <v>93</v>
      </c>
    </row>
    <row r="96" spans="1:14" x14ac:dyDescent="0.25">
      <c r="A96" s="44">
        <v>94</v>
      </c>
      <c r="B96" s="4">
        <v>2.3180000000000001</v>
      </c>
      <c r="C96" s="14">
        <v>31.039697</v>
      </c>
      <c r="D96" s="14">
        <v>26.931286</v>
      </c>
      <c r="E96" s="14">
        <v>94.240684000000002</v>
      </c>
      <c r="F96" s="14">
        <v>84.053635999999997</v>
      </c>
      <c r="G96" s="14">
        <v>25.181032999999999</v>
      </c>
      <c r="H96" s="14">
        <v>25.181032999999999</v>
      </c>
      <c r="I96" s="14">
        <v>2.0780020000000001</v>
      </c>
      <c r="J96" s="22">
        <v>1.47999999999999</v>
      </c>
      <c r="K96" s="34" t="str">
        <f t="shared" si="4"/>
        <v>10/XQ</v>
      </c>
      <c r="L96" s="34" t="str">
        <f t="shared" si="5"/>
        <v>X</v>
      </c>
      <c r="M96" s="34" t="str">
        <f t="shared" si="6"/>
        <v>Q</v>
      </c>
      <c r="N96" s="44">
        <f t="shared" si="7"/>
        <v>94</v>
      </c>
    </row>
    <row r="97" spans="1:14" x14ac:dyDescent="0.25">
      <c r="A97" s="44">
        <v>95</v>
      </c>
      <c r="B97" s="4">
        <v>2.5116999999999998</v>
      </c>
      <c r="C97" s="14">
        <v>31.058319999999998</v>
      </c>
      <c r="D97" s="14">
        <v>27.154814999999999</v>
      </c>
      <c r="E97" s="14">
        <v>96.624972999999997</v>
      </c>
      <c r="F97" s="14">
        <v>84.986631000000003</v>
      </c>
      <c r="G97" s="14">
        <v>25.203695</v>
      </c>
      <c r="H97" s="14">
        <v>25.203695</v>
      </c>
      <c r="I97" s="14">
        <v>2.0867290000000001</v>
      </c>
      <c r="J97" s="22">
        <v>1.41</v>
      </c>
      <c r="K97" s="34" t="str">
        <f t="shared" si="4"/>
        <v>11/XQ</v>
      </c>
      <c r="L97" s="34" t="str">
        <f t="shared" si="5"/>
        <v>X</v>
      </c>
      <c r="M97" s="34" t="str">
        <f t="shared" si="6"/>
        <v>Q</v>
      </c>
      <c r="N97" s="44">
        <f t="shared" si="7"/>
        <v>95</v>
      </c>
    </row>
    <row r="98" spans="1:14" x14ac:dyDescent="0.25">
      <c r="A98" s="44">
        <v>96</v>
      </c>
      <c r="B98" s="4">
        <v>2.7181000000000002</v>
      </c>
      <c r="C98" s="14">
        <v>31.154599999999999</v>
      </c>
      <c r="D98" s="14">
        <v>27.572998999999999</v>
      </c>
      <c r="E98" s="14">
        <v>97.175735000000003</v>
      </c>
      <c r="F98" s="14">
        <v>86.465397999999993</v>
      </c>
      <c r="G98" s="14">
        <v>25.357437000000001</v>
      </c>
      <c r="H98" s="14">
        <v>25.357437000000001</v>
      </c>
      <c r="I98" s="14">
        <v>2.0936149999999998</v>
      </c>
      <c r="J98" s="22">
        <v>1.3300000000000101</v>
      </c>
      <c r="K98" s="34" t="str">
        <f t="shared" si="4"/>
        <v>012/XK</v>
      </c>
      <c r="L98" s="34" t="str">
        <f t="shared" si="5"/>
        <v>X</v>
      </c>
      <c r="M98" s="34" t="str">
        <f t="shared" si="6"/>
        <v>K</v>
      </c>
      <c r="N98" s="44">
        <f t="shared" si="7"/>
        <v>96</v>
      </c>
    </row>
    <row r="99" spans="1:14" x14ac:dyDescent="0.25">
      <c r="A99" s="44">
        <v>97</v>
      </c>
      <c r="B99" s="4">
        <v>2.8454999999999999</v>
      </c>
      <c r="C99" s="14">
        <v>31.363334999999999</v>
      </c>
      <c r="D99" s="14">
        <v>28.110672000000001</v>
      </c>
      <c r="E99" s="14">
        <v>97.457543999999999</v>
      </c>
      <c r="F99" s="14">
        <v>88.237938</v>
      </c>
      <c r="G99" s="14">
        <v>25.649046999999999</v>
      </c>
      <c r="H99" s="14">
        <v>25.649046999999999</v>
      </c>
      <c r="I99" s="14">
        <v>2.1097350000000001</v>
      </c>
      <c r="J99" s="22">
        <v>1.53999999999999</v>
      </c>
      <c r="K99" s="34" t="str">
        <f t="shared" si="4"/>
        <v>01/XK</v>
      </c>
      <c r="L99" s="34" t="str">
        <f t="shared" si="5"/>
        <v>X</v>
      </c>
      <c r="M99" s="34" t="str">
        <f t="shared" si="6"/>
        <v>K</v>
      </c>
      <c r="N99" s="44">
        <f t="shared" si="7"/>
        <v>97</v>
      </c>
    </row>
    <row r="100" spans="1:14" x14ac:dyDescent="0.25">
      <c r="A100" s="44">
        <v>98</v>
      </c>
      <c r="B100" s="4">
        <v>3.1911999999999998</v>
      </c>
      <c r="C100" s="14">
        <v>31.680104</v>
      </c>
      <c r="D100" s="14">
        <v>28.762839</v>
      </c>
      <c r="E100" s="14">
        <v>98.432119</v>
      </c>
      <c r="F100" s="14">
        <v>90.320352999999997</v>
      </c>
      <c r="G100" s="14">
        <v>25.869627999999999</v>
      </c>
      <c r="H100" s="14">
        <v>25.869627999999999</v>
      </c>
      <c r="I100" s="14">
        <v>2.1308319999999998</v>
      </c>
      <c r="J100" s="22">
        <v>1.4400000000000199</v>
      </c>
      <c r="K100" s="34" t="str">
        <f t="shared" si="4"/>
        <v>02/XK</v>
      </c>
      <c r="L100" s="34" t="str">
        <f t="shared" si="5"/>
        <v>X</v>
      </c>
      <c r="M100" s="34" t="str">
        <f t="shared" si="6"/>
        <v>K</v>
      </c>
      <c r="N100" s="44">
        <f t="shared" si="7"/>
        <v>98</v>
      </c>
    </row>
    <row r="101" spans="1:14" x14ac:dyDescent="0.25">
      <c r="A101" s="44">
        <v>99</v>
      </c>
      <c r="B101" s="4">
        <v>3.1505999999999998</v>
      </c>
      <c r="C101" s="14">
        <v>31.920871999999999</v>
      </c>
      <c r="D101" s="14">
        <v>29.453147000000001</v>
      </c>
      <c r="E101" s="14">
        <v>99.130987000000005</v>
      </c>
      <c r="F101" s="14">
        <v>92.704809999999995</v>
      </c>
      <c r="G101" s="14">
        <v>26.084344999999999</v>
      </c>
      <c r="H101" s="14">
        <v>26.084344999999999</v>
      </c>
      <c r="I101" s="14">
        <v>2.1440429999999999</v>
      </c>
      <c r="J101" s="22">
        <v>1.3799999999999799</v>
      </c>
      <c r="K101" s="34" t="str">
        <f t="shared" si="4"/>
        <v>03/XK</v>
      </c>
      <c r="L101" s="34" t="str">
        <f t="shared" si="5"/>
        <v>X</v>
      </c>
      <c r="M101" s="34" t="str">
        <f t="shared" si="6"/>
        <v>K</v>
      </c>
      <c r="N101" s="44">
        <f t="shared" si="7"/>
        <v>99</v>
      </c>
    </row>
    <row r="102" spans="1:14" x14ac:dyDescent="0.25">
      <c r="A102" s="44">
        <v>100</v>
      </c>
      <c r="B102" s="4">
        <v>3.8567</v>
      </c>
      <c r="C102" s="14">
        <v>32.329459</v>
      </c>
      <c r="D102" s="14">
        <v>30.592983</v>
      </c>
      <c r="E102" s="14">
        <v>100.251167</v>
      </c>
      <c r="F102" s="14">
        <v>96.607681999999997</v>
      </c>
      <c r="G102" s="14">
        <v>26.493869</v>
      </c>
      <c r="H102" s="14">
        <v>26.493869</v>
      </c>
      <c r="I102" s="14">
        <v>2.1633390000000001</v>
      </c>
      <c r="J102" s="22">
        <v>1.6500000000000199</v>
      </c>
      <c r="K102" s="34" t="str">
        <f t="shared" si="4"/>
        <v>04/XK</v>
      </c>
      <c r="L102" s="34" t="str">
        <f t="shared" si="5"/>
        <v>X</v>
      </c>
      <c r="M102" s="34" t="str">
        <f t="shared" si="6"/>
        <v>K</v>
      </c>
      <c r="N102" s="44">
        <f t="shared" si="7"/>
        <v>100</v>
      </c>
    </row>
    <row r="103" spans="1:14" x14ac:dyDescent="0.25">
      <c r="A103" s="44">
        <v>101</v>
      </c>
      <c r="B103" s="4">
        <v>3.6797</v>
      </c>
      <c r="C103" s="14">
        <v>33.186188999999999</v>
      </c>
      <c r="D103" s="14">
        <v>32.180757999999997</v>
      </c>
      <c r="E103" s="14">
        <v>102.70732</v>
      </c>
      <c r="F103" s="14">
        <v>102.24957000000001</v>
      </c>
      <c r="G103" s="14">
        <v>27.392011</v>
      </c>
      <c r="H103" s="14">
        <v>27.392011</v>
      </c>
      <c r="I103" s="14">
        <v>2.2083360000000001</v>
      </c>
      <c r="J103" s="22">
        <v>1.53999999999999</v>
      </c>
      <c r="K103" s="34" t="str">
        <f t="shared" si="4"/>
        <v>05/XK</v>
      </c>
      <c r="L103" s="34" t="str">
        <f t="shared" si="5"/>
        <v>X</v>
      </c>
      <c r="M103" s="34" t="str">
        <f t="shared" si="6"/>
        <v>K</v>
      </c>
      <c r="N103" s="44">
        <f t="shared" si="7"/>
        <v>101</v>
      </c>
    </row>
    <row r="104" spans="1:14" x14ac:dyDescent="0.25">
      <c r="A104" s="44">
        <v>102</v>
      </c>
      <c r="B104" s="4">
        <v>3.7342</v>
      </c>
      <c r="C104" s="14">
        <v>33.793495999999998</v>
      </c>
      <c r="D104" s="14">
        <v>33.387535999999997</v>
      </c>
      <c r="E104" s="14">
        <v>104.453344</v>
      </c>
      <c r="F104" s="14">
        <v>105.01030799999999</v>
      </c>
      <c r="G104" s="14">
        <v>28.131595000000001</v>
      </c>
      <c r="H104" s="14">
        <v>28.131595000000001</v>
      </c>
      <c r="I104" s="14">
        <v>2.27569</v>
      </c>
      <c r="J104" s="22">
        <v>1.74000000000001</v>
      </c>
      <c r="K104" s="34" t="str">
        <f t="shared" si="4"/>
        <v>06/XK</v>
      </c>
      <c r="L104" s="34" t="str">
        <f t="shared" si="5"/>
        <v>X</v>
      </c>
      <c r="M104" s="34" t="str">
        <f t="shared" si="6"/>
        <v>K</v>
      </c>
      <c r="N104" s="44">
        <f t="shared" si="7"/>
        <v>102</v>
      </c>
    </row>
    <row r="105" spans="1:14" x14ac:dyDescent="0.25">
      <c r="A105" s="44">
        <v>103</v>
      </c>
      <c r="B105" s="4">
        <v>3.2982999999999998</v>
      </c>
      <c r="C105" s="14">
        <v>34.533572999999997</v>
      </c>
      <c r="D105" s="14">
        <v>34.165464999999998</v>
      </c>
      <c r="E105" s="14">
        <v>106.03058900000001</v>
      </c>
      <c r="F105" s="14">
        <v>107.28903099999999</v>
      </c>
      <c r="G105" s="14">
        <v>28.826445</v>
      </c>
      <c r="H105" s="14">
        <v>28.826445</v>
      </c>
      <c r="I105" s="14">
        <v>2.320748</v>
      </c>
      <c r="J105" s="22">
        <v>1.97000000000001</v>
      </c>
      <c r="K105" s="34" t="str">
        <f t="shared" si="4"/>
        <v>07/XK</v>
      </c>
      <c r="L105" s="34" t="str">
        <f t="shared" si="5"/>
        <v>X</v>
      </c>
      <c r="M105" s="34" t="str">
        <f t="shared" si="6"/>
        <v>K</v>
      </c>
      <c r="N105" s="44">
        <f t="shared" si="7"/>
        <v>103</v>
      </c>
    </row>
    <row r="106" spans="1:14" x14ac:dyDescent="0.25">
      <c r="A106" s="44">
        <v>104</v>
      </c>
      <c r="B106" s="4">
        <v>3.6579999999999999</v>
      </c>
      <c r="C106" s="14">
        <v>35.089562999999998</v>
      </c>
      <c r="D106" s="14">
        <v>34.944437000000001</v>
      </c>
      <c r="E106" s="14">
        <v>107.504414</v>
      </c>
      <c r="F106" s="14">
        <v>108.99492600000001</v>
      </c>
      <c r="G106" s="14">
        <v>29.247311</v>
      </c>
      <c r="H106" s="14">
        <v>29.247311</v>
      </c>
      <c r="I106" s="14">
        <v>2.371572</v>
      </c>
      <c r="J106" s="22">
        <v>1.83</v>
      </c>
      <c r="K106" s="34" t="str">
        <f t="shared" si="4"/>
        <v>08/XK</v>
      </c>
      <c r="L106" s="34" t="str">
        <f t="shared" si="5"/>
        <v>X</v>
      </c>
      <c r="M106" s="34" t="str">
        <f t="shared" si="6"/>
        <v>K</v>
      </c>
      <c r="N106" s="44">
        <f t="shared" si="7"/>
        <v>104</v>
      </c>
    </row>
    <row r="107" spans="1:14" x14ac:dyDescent="0.25">
      <c r="A107" s="44">
        <v>105</v>
      </c>
      <c r="B107" s="4">
        <v>3.3957999999999999</v>
      </c>
      <c r="C107" s="14">
        <v>35.324663000000001</v>
      </c>
      <c r="D107" s="14">
        <v>35.479086000000002</v>
      </c>
      <c r="E107" s="14">
        <v>108.98797399999999</v>
      </c>
      <c r="F107" s="14">
        <v>110.804241</v>
      </c>
      <c r="G107" s="14">
        <v>29.647998999999999</v>
      </c>
      <c r="H107" s="14">
        <v>29.647998999999999</v>
      </c>
      <c r="I107" s="14">
        <v>2.3986070000000002</v>
      </c>
      <c r="J107" s="22">
        <v>1.78</v>
      </c>
      <c r="K107" s="34" t="str">
        <f t="shared" si="4"/>
        <v>09/XK</v>
      </c>
      <c r="L107" s="34" t="str">
        <f t="shared" si="5"/>
        <v>X</v>
      </c>
      <c r="M107" s="34" t="str">
        <f t="shared" si="6"/>
        <v>K</v>
      </c>
      <c r="N107" s="44">
        <f t="shared" si="7"/>
        <v>105</v>
      </c>
    </row>
    <row r="108" spans="1:14" x14ac:dyDescent="0.25">
      <c r="A108" s="44">
        <v>106</v>
      </c>
      <c r="B108" s="4">
        <v>3.1154000000000002</v>
      </c>
      <c r="C108" s="14">
        <v>35.526012999999999</v>
      </c>
      <c r="D108" s="14">
        <v>35.805492999999998</v>
      </c>
      <c r="E108" s="14">
        <v>109.96886499999999</v>
      </c>
      <c r="F108" s="14">
        <v>111.258538</v>
      </c>
      <c r="G108" s="14">
        <v>30.057141000000001</v>
      </c>
      <c r="H108" s="14">
        <v>30.057141000000001</v>
      </c>
      <c r="I108" s="14">
        <v>2.425951</v>
      </c>
      <c r="J108" s="22">
        <v>1.8699999999999899</v>
      </c>
      <c r="K108" s="34" t="str">
        <f t="shared" si="4"/>
        <v>10/XK</v>
      </c>
      <c r="L108" s="34" t="str">
        <f t="shared" si="5"/>
        <v>X</v>
      </c>
      <c r="M108" s="34" t="str">
        <f t="shared" si="6"/>
        <v>K</v>
      </c>
      <c r="N108" s="44">
        <f t="shared" si="7"/>
        <v>106</v>
      </c>
    </row>
    <row r="109" spans="1:14" x14ac:dyDescent="0.25">
      <c r="A109" s="44">
        <v>107</v>
      </c>
      <c r="B109" s="4">
        <v>2.9306000000000001</v>
      </c>
      <c r="C109" s="14">
        <v>35.636142999999997</v>
      </c>
      <c r="D109" s="14">
        <v>35.712398</v>
      </c>
      <c r="E109" s="14">
        <v>113.09198000000001</v>
      </c>
      <c r="F109" s="14">
        <v>110.513105</v>
      </c>
      <c r="G109" s="14">
        <v>30.354706</v>
      </c>
      <c r="H109" s="14">
        <v>30.354706</v>
      </c>
      <c r="I109" s="14">
        <v>2.4465710000000001</v>
      </c>
      <c r="J109" s="22">
        <v>1.97000000000001</v>
      </c>
      <c r="K109" s="34" t="str">
        <f t="shared" si="4"/>
        <v>11/XK</v>
      </c>
      <c r="L109" s="34" t="str">
        <f t="shared" si="5"/>
        <v>X</v>
      </c>
      <c r="M109" s="34" t="str">
        <f t="shared" si="6"/>
        <v>K</v>
      </c>
      <c r="N109" s="44">
        <f t="shared" si="7"/>
        <v>107</v>
      </c>
    </row>
    <row r="110" spans="1:14" x14ac:dyDescent="0.25">
      <c r="A110" s="44">
        <v>108</v>
      </c>
      <c r="B110" s="4">
        <v>2.8570000000000002</v>
      </c>
      <c r="C110" s="14">
        <v>35.579124999999998</v>
      </c>
      <c r="D110" s="14">
        <v>35.355274000000001</v>
      </c>
      <c r="E110" s="14">
        <v>114.279445</v>
      </c>
      <c r="F110" s="14">
        <v>109.739513</v>
      </c>
      <c r="G110" s="14">
        <v>30.336493000000001</v>
      </c>
      <c r="H110" s="14">
        <v>30.336493000000001</v>
      </c>
      <c r="I110" s="14">
        <v>2.451953</v>
      </c>
      <c r="J110" s="22">
        <v>1.8599999999999901</v>
      </c>
      <c r="K110" s="34" t="str">
        <f t="shared" si="4"/>
        <v>012/XR</v>
      </c>
      <c r="L110" s="34" t="str">
        <f t="shared" si="5"/>
        <v>X</v>
      </c>
      <c r="M110" s="34" t="str">
        <f t="shared" si="6"/>
        <v>R</v>
      </c>
      <c r="N110" s="44">
        <f t="shared" si="7"/>
        <v>108</v>
      </c>
    </row>
    <row r="111" spans="1:14" x14ac:dyDescent="0.25">
      <c r="A111" s="44">
        <v>109</v>
      </c>
      <c r="B111" s="4">
        <v>2.8553999999999999</v>
      </c>
      <c r="C111" s="14">
        <v>35.550660999999998</v>
      </c>
      <c r="D111" s="14">
        <v>35.206780999999999</v>
      </c>
      <c r="E111" s="14">
        <v>115.410811</v>
      </c>
      <c r="F111" s="14">
        <v>109.520033</v>
      </c>
      <c r="G111" s="14">
        <v>30.348627</v>
      </c>
      <c r="H111" s="14">
        <v>30.348627</v>
      </c>
      <c r="I111" s="14">
        <v>2.4475389999999999</v>
      </c>
      <c r="J111" s="22">
        <v>2.0799999999999899</v>
      </c>
      <c r="K111" s="34" t="str">
        <f t="shared" si="4"/>
        <v>01/XR</v>
      </c>
      <c r="L111" s="34" t="str">
        <f t="shared" si="5"/>
        <v>X</v>
      </c>
      <c r="M111" s="34" t="str">
        <f t="shared" si="6"/>
        <v>R</v>
      </c>
      <c r="N111" s="44">
        <f t="shared" si="7"/>
        <v>109</v>
      </c>
    </row>
    <row r="112" spans="1:14" x14ac:dyDescent="0.25">
      <c r="A112" s="44">
        <v>110</v>
      </c>
      <c r="B112" s="4">
        <v>2.9929999999999999</v>
      </c>
      <c r="C112" s="14">
        <v>35.774630000000002</v>
      </c>
      <c r="D112" s="14">
        <v>35.340566000000003</v>
      </c>
      <c r="E112" s="14">
        <v>117.072726</v>
      </c>
      <c r="F112" s="14">
        <v>110.199057</v>
      </c>
      <c r="G112" s="14">
        <v>30.403254</v>
      </c>
      <c r="H112" s="14">
        <v>30.403254</v>
      </c>
      <c r="I112" s="14">
        <v>2.4541469999999999</v>
      </c>
      <c r="J112" s="22">
        <v>1.77</v>
      </c>
      <c r="K112" s="34" t="str">
        <f t="shared" si="4"/>
        <v>02/XR</v>
      </c>
      <c r="L112" s="34" t="str">
        <f t="shared" si="5"/>
        <v>X</v>
      </c>
      <c r="M112" s="34" t="str">
        <f t="shared" si="6"/>
        <v>R</v>
      </c>
      <c r="N112" s="44">
        <f t="shared" si="7"/>
        <v>110</v>
      </c>
    </row>
    <row r="113" spans="1:14" x14ac:dyDescent="0.25">
      <c r="A113" s="44">
        <v>111</v>
      </c>
      <c r="B113" s="4">
        <v>2.8898000000000001</v>
      </c>
      <c r="C113" s="14">
        <v>36.075136000000001</v>
      </c>
      <c r="D113" s="14">
        <v>35.757584000000001</v>
      </c>
      <c r="E113" s="14">
        <v>117.330285</v>
      </c>
      <c r="F113" s="14">
        <v>111.35614700000001</v>
      </c>
      <c r="G113" s="14">
        <v>30.652560000000001</v>
      </c>
      <c r="H113" s="14">
        <v>30.652560000000001</v>
      </c>
      <c r="I113" s="14">
        <v>2.4681350000000002</v>
      </c>
      <c r="J113" s="22">
        <v>1.6800000000000099</v>
      </c>
      <c r="K113" s="34" t="str">
        <f t="shared" si="4"/>
        <v>03/XR</v>
      </c>
      <c r="L113" s="34" t="str">
        <f t="shared" si="5"/>
        <v>X</v>
      </c>
      <c r="M113" s="34" t="str">
        <f t="shared" si="6"/>
        <v>R</v>
      </c>
      <c r="N113" s="44">
        <f t="shared" si="7"/>
        <v>111</v>
      </c>
    </row>
    <row r="114" spans="1:14" x14ac:dyDescent="0.25">
      <c r="A114" s="44">
        <v>112</v>
      </c>
      <c r="B114" s="4">
        <v>2.8268</v>
      </c>
      <c r="C114" s="14">
        <v>36.302408999999997</v>
      </c>
      <c r="D114" s="14">
        <v>35.893462</v>
      </c>
      <c r="E114" s="14">
        <v>118.09293099999999</v>
      </c>
      <c r="F114" s="14">
        <v>111.846114</v>
      </c>
      <c r="G114" s="14">
        <v>30.772103999999999</v>
      </c>
      <c r="H114" s="14">
        <v>30.772103999999999</v>
      </c>
      <c r="I114" s="14">
        <v>2.4844240000000002</v>
      </c>
      <c r="J114" s="22">
        <v>1.64</v>
      </c>
      <c r="K114" s="34" t="str">
        <f t="shared" si="4"/>
        <v>04/XR</v>
      </c>
      <c r="L114" s="34" t="str">
        <f t="shared" si="5"/>
        <v>X</v>
      </c>
      <c r="M114" s="34" t="str">
        <f t="shared" si="6"/>
        <v>R</v>
      </c>
      <c r="N114" s="44">
        <f t="shared" si="7"/>
        <v>112</v>
      </c>
    </row>
    <row r="115" spans="1:14" x14ac:dyDescent="0.25">
      <c r="A115" s="44">
        <v>113</v>
      </c>
      <c r="B115" s="4">
        <v>2.9418000000000002</v>
      </c>
      <c r="C115" s="14">
        <v>36.400424999999998</v>
      </c>
      <c r="D115" s="14">
        <v>36.069338999999999</v>
      </c>
      <c r="E115" s="14">
        <v>119.32109699999999</v>
      </c>
      <c r="F115" s="14">
        <v>112.382975</v>
      </c>
      <c r="G115" s="14">
        <v>30.885960000000001</v>
      </c>
      <c r="H115" s="14">
        <v>30.885960000000001</v>
      </c>
      <c r="I115" s="14">
        <v>2.4886469999999998</v>
      </c>
      <c r="J115" s="22">
        <v>1.3399999999999901</v>
      </c>
      <c r="K115" s="34" t="str">
        <f t="shared" si="4"/>
        <v>05/XR</v>
      </c>
      <c r="L115" s="34" t="str">
        <f t="shared" si="5"/>
        <v>X</v>
      </c>
      <c r="M115" s="34" t="str">
        <f t="shared" si="6"/>
        <v>R</v>
      </c>
      <c r="N115" s="44">
        <f t="shared" si="7"/>
        <v>113</v>
      </c>
    </row>
    <row r="116" spans="1:14" x14ac:dyDescent="0.25">
      <c r="A116" s="44">
        <v>114</v>
      </c>
      <c r="B116" s="4">
        <v>2.9293</v>
      </c>
      <c r="C116" s="14">
        <v>36.553305999999999</v>
      </c>
      <c r="D116" s="14">
        <v>36.289361</v>
      </c>
      <c r="E116" s="14">
        <v>119.51201</v>
      </c>
      <c r="F116" s="14">
        <v>113.057272</v>
      </c>
      <c r="G116" s="14">
        <v>31.052744000000001</v>
      </c>
      <c r="H116" s="14">
        <v>31.052744000000001</v>
      </c>
      <c r="I116" s="14">
        <v>2.5000939999999998</v>
      </c>
      <c r="J116" s="22">
        <v>1.37</v>
      </c>
      <c r="K116" s="34" t="str">
        <f t="shared" si="4"/>
        <v>06/XR</v>
      </c>
      <c r="L116" s="34" t="str">
        <f t="shared" si="5"/>
        <v>X</v>
      </c>
      <c r="M116" s="34" t="str">
        <f t="shared" si="6"/>
        <v>R</v>
      </c>
      <c r="N116" s="44">
        <f t="shared" si="7"/>
        <v>114</v>
      </c>
    </row>
    <row r="117" spans="1:14" x14ac:dyDescent="0.25">
      <c r="A117" s="44">
        <v>115</v>
      </c>
      <c r="B117" s="4">
        <v>2.8126000000000002</v>
      </c>
      <c r="C117" s="14">
        <v>36.790902000000003</v>
      </c>
      <c r="D117" s="14">
        <v>36.608707000000003</v>
      </c>
      <c r="E117" s="14">
        <v>119.90639899999999</v>
      </c>
      <c r="F117" s="14">
        <v>113.96173</v>
      </c>
      <c r="G117" s="14">
        <v>31.310480999999999</v>
      </c>
      <c r="H117" s="14">
        <v>31.310480999999999</v>
      </c>
      <c r="I117" s="14">
        <v>2.5170940000000002</v>
      </c>
      <c r="J117" s="22">
        <v>1.27000000000002</v>
      </c>
      <c r="K117" s="34" t="str">
        <f t="shared" si="4"/>
        <v>07/XR</v>
      </c>
      <c r="L117" s="34" t="str">
        <f t="shared" si="5"/>
        <v>X</v>
      </c>
      <c r="M117" s="34" t="str">
        <f t="shared" si="6"/>
        <v>R</v>
      </c>
      <c r="N117" s="44">
        <f t="shared" si="7"/>
        <v>115</v>
      </c>
    </row>
    <row r="118" spans="1:14" x14ac:dyDescent="0.25">
      <c r="A118" s="44">
        <v>116</v>
      </c>
      <c r="B118" s="4">
        <v>2.9085000000000001</v>
      </c>
      <c r="C118" s="14">
        <v>36.860804000000002</v>
      </c>
      <c r="D118" s="14">
        <v>36.861306999999996</v>
      </c>
      <c r="E118" s="14">
        <v>121.105462</v>
      </c>
      <c r="F118" s="14">
        <v>115.192516</v>
      </c>
      <c r="G118" s="14">
        <v>31.432590999999999</v>
      </c>
      <c r="H118" s="14">
        <v>31.432590999999999</v>
      </c>
      <c r="I118" s="14">
        <v>2.5397470000000002</v>
      </c>
      <c r="J118" s="22">
        <v>1.0799999999999701</v>
      </c>
      <c r="K118" s="34" t="str">
        <f t="shared" si="4"/>
        <v>08/XR</v>
      </c>
      <c r="L118" s="34" t="str">
        <f t="shared" si="5"/>
        <v>X</v>
      </c>
      <c r="M118" s="34" t="str">
        <f t="shared" si="6"/>
        <v>R</v>
      </c>
      <c r="N118" s="44">
        <f t="shared" si="7"/>
        <v>116</v>
      </c>
    </row>
    <row r="119" spans="1:14" x14ac:dyDescent="0.25">
      <c r="A119" s="44">
        <v>117</v>
      </c>
      <c r="B119" s="4">
        <v>2.9013</v>
      </c>
      <c r="C119" s="14">
        <v>36.905036000000003</v>
      </c>
      <c r="D119" s="14">
        <v>37.277839</v>
      </c>
      <c r="E119" s="14">
        <v>122.510285</v>
      </c>
      <c r="F119" s="14">
        <v>116.263806</v>
      </c>
      <c r="G119" s="14">
        <v>31.611756</v>
      </c>
      <c r="H119" s="14">
        <v>31.611756</v>
      </c>
      <c r="I119" s="14">
        <v>2.5499049999999999</v>
      </c>
      <c r="J119" s="22">
        <v>1.3800000000000301</v>
      </c>
      <c r="K119" s="34" t="str">
        <f t="shared" si="4"/>
        <v>09/XR</v>
      </c>
      <c r="L119" s="34" t="str">
        <f t="shared" si="5"/>
        <v>X</v>
      </c>
      <c r="M119" s="34" t="str">
        <f t="shared" si="6"/>
        <v>R</v>
      </c>
      <c r="N119" s="44">
        <f t="shared" si="7"/>
        <v>117</v>
      </c>
    </row>
    <row r="120" spans="1:14" x14ac:dyDescent="0.25">
      <c r="A120" s="44">
        <v>118</v>
      </c>
      <c r="B120" s="4">
        <v>2.9064000000000001</v>
      </c>
      <c r="C120" s="14">
        <v>37.012059999999998</v>
      </c>
      <c r="D120" s="14">
        <v>37.728900000000003</v>
      </c>
      <c r="E120" s="14">
        <v>123.23309500000001</v>
      </c>
      <c r="F120" s="14">
        <v>117.60083899999999</v>
      </c>
      <c r="G120" s="14">
        <v>31.741364000000001</v>
      </c>
      <c r="H120" s="14">
        <v>31.741364000000001</v>
      </c>
      <c r="I120" s="14">
        <v>2.5552589999999999</v>
      </c>
      <c r="J120" s="22">
        <v>1.18</v>
      </c>
      <c r="K120" s="34" t="str">
        <f t="shared" si="4"/>
        <v>10/XR</v>
      </c>
      <c r="L120" s="34" t="str">
        <f t="shared" si="5"/>
        <v>X</v>
      </c>
      <c r="M120" s="34" t="str">
        <f t="shared" si="6"/>
        <v>R</v>
      </c>
      <c r="N120" s="44">
        <f t="shared" si="7"/>
        <v>118</v>
      </c>
    </row>
    <row r="121" spans="1:14" x14ac:dyDescent="0.25">
      <c r="A121" s="44">
        <v>119</v>
      </c>
      <c r="B121" s="4">
        <v>3.0981999999999998</v>
      </c>
      <c r="C121" s="14">
        <v>37.223027999999999</v>
      </c>
      <c r="D121" s="14">
        <v>38.223148000000002</v>
      </c>
      <c r="E121" s="14">
        <v>125.48826</v>
      </c>
      <c r="F121" s="14">
        <v>119.31781100000001</v>
      </c>
      <c r="G121" s="14">
        <v>31.868328999999999</v>
      </c>
      <c r="H121" s="14">
        <v>31.868328999999999</v>
      </c>
      <c r="I121" s="14">
        <v>2.5690569999999999</v>
      </c>
      <c r="J121" s="22">
        <v>1.22999999999998</v>
      </c>
      <c r="K121" s="34" t="str">
        <f t="shared" si="4"/>
        <v>11/XR</v>
      </c>
      <c r="L121" s="34" t="str">
        <f t="shared" si="5"/>
        <v>X</v>
      </c>
      <c r="M121" s="34" t="str">
        <f t="shared" si="6"/>
        <v>R</v>
      </c>
      <c r="N121" s="44">
        <f t="shared" si="7"/>
        <v>119</v>
      </c>
    </row>
    <row r="122" spans="1:14" x14ac:dyDescent="0.25">
      <c r="A122" s="44">
        <v>120</v>
      </c>
      <c r="B122" s="4">
        <v>3.1379999999999999</v>
      </c>
      <c r="C122" s="14">
        <v>37.565479000000003</v>
      </c>
      <c r="D122" s="14">
        <v>38.750627000000001</v>
      </c>
      <c r="E122" s="14">
        <v>126.366677</v>
      </c>
      <c r="F122" s="14">
        <v>120.85701</v>
      </c>
      <c r="G122" s="14">
        <v>32.027670000000001</v>
      </c>
      <c r="H122" s="14">
        <v>32.027670000000001</v>
      </c>
      <c r="I122" s="14">
        <v>2.5834429999999999</v>
      </c>
      <c r="J122" s="22">
        <v>1.23000000000002</v>
      </c>
      <c r="K122" s="34" t="str">
        <f t="shared" si="4"/>
        <v>012/YX</v>
      </c>
      <c r="L122" s="34" t="str">
        <f t="shared" si="5"/>
        <v>Y</v>
      </c>
      <c r="M122" s="34" t="str">
        <f t="shared" si="6"/>
        <v>X</v>
      </c>
      <c r="N122" s="44">
        <f t="shared" si="7"/>
        <v>120</v>
      </c>
    </row>
    <row r="123" spans="1:14" x14ac:dyDescent="0.25">
      <c r="A123" s="44">
        <v>121</v>
      </c>
      <c r="B123" s="4">
        <v>3.0215000000000001</v>
      </c>
      <c r="C123" s="14">
        <v>37.787115</v>
      </c>
      <c r="D123" s="14">
        <v>39.25826</v>
      </c>
      <c r="E123" s="14">
        <v>127.781983</v>
      </c>
      <c r="F123" s="14">
        <v>122.234779</v>
      </c>
      <c r="G123" s="14">
        <v>32.261471</v>
      </c>
      <c r="H123" s="14">
        <v>32.261471</v>
      </c>
      <c r="I123" s="14">
        <v>2.607469</v>
      </c>
      <c r="J123" s="22">
        <v>1.2899999999999701</v>
      </c>
      <c r="K123" s="34" t="str">
        <f t="shared" si="4"/>
        <v>01/YX</v>
      </c>
      <c r="L123" s="34" t="str">
        <f t="shared" si="5"/>
        <v>Y</v>
      </c>
      <c r="M123" s="34" t="str">
        <f t="shared" si="6"/>
        <v>X</v>
      </c>
      <c r="N123" s="44">
        <f t="shared" si="7"/>
        <v>121</v>
      </c>
    </row>
    <row r="124" spans="1:14" x14ac:dyDescent="0.25">
      <c r="A124" s="44">
        <v>122</v>
      </c>
      <c r="B124" s="4">
        <v>3.0234999999999999</v>
      </c>
      <c r="C124" s="14">
        <v>38.161206999999997</v>
      </c>
      <c r="D124" s="14">
        <v>39.737209999999997</v>
      </c>
      <c r="E124" s="14">
        <v>128.81701699999999</v>
      </c>
      <c r="F124" s="14">
        <v>123.836054</v>
      </c>
      <c r="G124" s="14">
        <v>32.422778000000001</v>
      </c>
      <c r="H124" s="11">
        <v>32.422778000000001</v>
      </c>
      <c r="I124" s="11">
        <v>2.6280679999999998</v>
      </c>
      <c r="J124" s="22">
        <v>1.29000000000001</v>
      </c>
      <c r="K124" s="34" t="str">
        <f t="shared" si="4"/>
        <v>02/YX</v>
      </c>
      <c r="L124" s="34" t="str">
        <f t="shared" si="5"/>
        <v>Y</v>
      </c>
      <c r="M124" s="34" t="str">
        <f t="shared" si="6"/>
        <v>X</v>
      </c>
      <c r="N124" s="44">
        <f t="shared" si="7"/>
        <v>122</v>
      </c>
    </row>
    <row r="125" spans="1:14" x14ac:dyDescent="0.25">
      <c r="A125" s="44">
        <v>123</v>
      </c>
      <c r="B125" s="4">
        <v>2.9041999999999999</v>
      </c>
      <c r="C125" s="11">
        <v>38.241345000000003</v>
      </c>
      <c r="D125" s="11">
        <v>40.011395999999998</v>
      </c>
      <c r="E125" s="11">
        <v>129.564155</v>
      </c>
      <c r="F125" s="11">
        <v>124.43046699999999</v>
      </c>
      <c r="G125" s="11">
        <v>32.477896000000001</v>
      </c>
      <c r="H125" s="14">
        <v>32.477896000000001</v>
      </c>
      <c r="I125" s="14">
        <v>2.6409449999999999</v>
      </c>
      <c r="J125" s="22">
        <v>1.25000000000002</v>
      </c>
      <c r="K125" s="34" t="str">
        <f t="shared" si="4"/>
        <v>03/YX</v>
      </c>
      <c r="L125" s="34" t="str">
        <f t="shared" si="5"/>
        <v>Y</v>
      </c>
      <c r="M125" s="34" t="str">
        <f t="shared" si="6"/>
        <v>X</v>
      </c>
      <c r="N125" s="44">
        <f t="shared" si="7"/>
        <v>123</v>
      </c>
    </row>
    <row r="126" spans="1:14" x14ac:dyDescent="0.25">
      <c r="A126" s="44">
        <v>124</v>
      </c>
      <c r="B126" s="4">
        <v>2.8622999999999998</v>
      </c>
      <c r="C126" s="14">
        <v>38.478440999999997</v>
      </c>
      <c r="D126" s="14">
        <v>40.167439999999999</v>
      </c>
      <c r="E126" s="14">
        <v>131.10596799999999</v>
      </c>
      <c r="F126" s="14">
        <v>125.08994800000001</v>
      </c>
      <c r="G126" s="14">
        <v>32.533107999999999</v>
      </c>
      <c r="H126" s="14">
        <v>32.533107999999999</v>
      </c>
      <c r="I126" s="14">
        <v>2.6493959999999999</v>
      </c>
      <c r="J126" s="22">
        <v>1.20999999999998</v>
      </c>
      <c r="K126" s="34" t="str">
        <f t="shared" si="4"/>
        <v>04/YX</v>
      </c>
      <c r="L126" s="34" t="str">
        <f t="shared" si="5"/>
        <v>Y</v>
      </c>
      <c r="M126" s="34" t="str">
        <f t="shared" si="6"/>
        <v>X</v>
      </c>
      <c r="N126" s="44">
        <f t="shared" si="7"/>
        <v>124</v>
      </c>
    </row>
    <row r="127" spans="1:14" x14ac:dyDescent="0.25">
      <c r="A127" s="44">
        <v>125</v>
      </c>
      <c r="B127" s="4">
        <v>2.7991000000000001</v>
      </c>
      <c r="C127" s="14">
        <v>38.693919999999999</v>
      </c>
      <c r="D127" s="14">
        <v>40.496813000000003</v>
      </c>
      <c r="E127" s="14">
        <v>132.03682000000001</v>
      </c>
      <c r="F127" s="14">
        <v>126.115685</v>
      </c>
      <c r="G127" s="14">
        <v>32.676253000000003</v>
      </c>
      <c r="H127" s="14">
        <v>32.676253000000003</v>
      </c>
      <c r="I127" s="14">
        <v>2.6660870000000001</v>
      </c>
      <c r="J127" s="22">
        <v>1.25000000000002</v>
      </c>
      <c r="K127" s="34" t="str">
        <f t="shared" si="4"/>
        <v>05/YX</v>
      </c>
      <c r="L127" s="34" t="str">
        <f t="shared" si="5"/>
        <v>Y</v>
      </c>
      <c r="M127" s="34" t="str">
        <f t="shared" si="6"/>
        <v>X</v>
      </c>
      <c r="N127" s="44">
        <f t="shared" si="7"/>
        <v>125</v>
      </c>
    </row>
    <row r="128" spans="1:14" x14ac:dyDescent="0.25">
      <c r="A128" s="44">
        <v>126</v>
      </c>
      <c r="B128" s="4">
        <v>2.7507999999999999</v>
      </c>
      <c r="C128" s="14">
        <v>38.953169000000003</v>
      </c>
      <c r="D128" s="14">
        <v>40.796489000000001</v>
      </c>
      <c r="E128" s="14">
        <v>132.710207</v>
      </c>
      <c r="F128" s="14">
        <v>126.771486</v>
      </c>
      <c r="G128" s="14">
        <v>32.957267999999999</v>
      </c>
      <c r="H128" s="14">
        <v>32.957267999999999</v>
      </c>
      <c r="I128" s="14">
        <v>2.688482</v>
      </c>
      <c r="J128" s="22">
        <v>1.47999999999997</v>
      </c>
      <c r="K128" s="34" t="str">
        <f t="shared" si="4"/>
        <v>06/YX</v>
      </c>
      <c r="L128" s="34" t="str">
        <f t="shared" si="5"/>
        <v>Y</v>
      </c>
      <c r="M128" s="34" t="str">
        <f t="shared" si="6"/>
        <v>X</v>
      </c>
      <c r="N128" s="44">
        <f t="shared" si="7"/>
        <v>126</v>
      </c>
    </row>
    <row r="129" spans="1:14" x14ac:dyDescent="0.25">
      <c r="A129" s="44">
        <v>127</v>
      </c>
      <c r="B129" s="4">
        <v>2.7073999999999998</v>
      </c>
      <c r="C129" s="14">
        <v>39.171306000000001</v>
      </c>
      <c r="D129" s="14">
        <v>40.955595000000002</v>
      </c>
      <c r="E129" s="14">
        <v>133.705533</v>
      </c>
      <c r="F129" s="14">
        <v>127.189831</v>
      </c>
      <c r="G129" s="14">
        <v>33.145124000000003</v>
      </c>
      <c r="H129" s="14">
        <v>33.145124000000003</v>
      </c>
      <c r="I129" s="14">
        <v>2.706763</v>
      </c>
      <c r="J129" s="22">
        <v>1.3800000000000301</v>
      </c>
      <c r="K129" s="34" t="str">
        <f t="shared" si="4"/>
        <v>07/YX</v>
      </c>
      <c r="L129" s="34" t="str">
        <f t="shared" si="5"/>
        <v>Y</v>
      </c>
      <c r="M129" s="34" t="str">
        <f t="shared" si="6"/>
        <v>X</v>
      </c>
      <c r="N129" s="44">
        <f t="shared" si="7"/>
        <v>127</v>
      </c>
    </row>
    <row r="130" spans="1:14" x14ac:dyDescent="0.25">
      <c r="A130" s="44">
        <v>128</v>
      </c>
      <c r="B130" s="4">
        <v>2.5762</v>
      </c>
      <c r="C130" s="14">
        <v>39.312322000000002</v>
      </c>
      <c r="D130" s="14">
        <v>41.078460999999997</v>
      </c>
      <c r="E130" s="14">
        <v>134.293837</v>
      </c>
      <c r="F130" s="14">
        <v>127.69859</v>
      </c>
      <c r="G130" s="14">
        <v>33.290962</v>
      </c>
      <c r="H130" s="14">
        <v>33.290962</v>
      </c>
      <c r="I130" s="14">
        <v>2.7267929999999998</v>
      </c>
      <c r="J130" s="22">
        <v>1.22</v>
      </c>
      <c r="K130" s="34" t="str">
        <f t="shared" si="4"/>
        <v>08/YX</v>
      </c>
      <c r="L130" s="34" t="str">
        <f t="shared" si="5"/>
        <v>Y</v>
      </c>
      <c r="M130" s="34" t="str">
        <f t="shared" si="6"/>
        <v>X</v>
      </c>
      <c r="N130" s="44">
        <f t="shared" si="7"/>
        <v>128</v>
      </c>
    </row>
    <row r="131" spans="1:14" x14ac:dyDescent="0.25">
      <c r="A131" s="44">
        <v>129</v>
      </c>
      <c r="B131" s="4">
        <v>2.7621000000000002</v>
      </c>
      <c r="C131" s="14">
        <v>39.622889000000001</v>
      </c>
      <c r="D131" s="14">
        <v>41.427627000000001</v>
      </c>
      <c r="E131" s="14">
        <v>135.19360499999999</v>
      </c>
      <c r="F131" s="14">
        <v>128.962806</v>
      </c>
      <c r="G131" s="14">
        <v>33.533985999999999</v>
      </c>
      <c r="H131" s="14">
        <v>33.533985999999999</v>
      </c>
      <c r="I131" s="14">
        <v>2.7363360000000001</v>
      </c>
      <c r="J131" s="22">
        <v>1.52999999999999</v>
      </c>
      <c r="K131" s="34" t="str">
        <f t="shared" si="4"/>
        <v>09/YX</v>
      </c>
      <c r="L131" s="34" t="str">
        <f t="shared" si="5"/>
        <v>Y</v>
      </c>
      <c r="M131" s="34" t="str">
        <f t="shared" si="6"/>
        <v>X</v>
      </c>
      <c r="N131" s="44">
        <f t="shared" si="7"/>
        <v>129</v>
      </c>
    </row>
    <row r="132" spans="1:14" x14ac:dyDescent="0.25">
      <c r="A132" s="44">
        <v>130</v>
      </c>
      <c r="B132" s="4">
        <v>2.5971000000000002</v>
      </c>
      <c r="C132" s="14">
        <v>39.951757999999998</v>
      </c>
      <c r="D132" s="14">
        <v>41.783904</v>
      </c>
      <c r="E132" s="14">
        <v>136.16699800000001</v>
      </c>
      <c r="F132" s="14">
        <v>129.62051600000001</v>
      </c>
      <c r="G132" s="14">
        <v>33.839145000000002</v>
      </c>
      <c r="H132" s="14">
        <v>33.839145000000002</v>
      </c>
      <c r="I132" s="14">
        <v>2.7565840000000001</v>
      </c>
      <c r="J132" s="22">
        <v>1.41</v>
      </c>
      <c r="K132" s="34" t="str">
        <f t="shared" ref="K132:K195" si="8">CONCATENATE(IF(AND((A132/12-ROUNDDOWN(A132/12,0))*12&lt;10,A132&lt;&gt;12),"0",""),IF((A132/12-ROUNDDOWN(A132/12,0))*12=0,12,ROUND((A132/12-ROUNDDOWN(A132/12,0))*12,0)),"/",L132,M132)</f>
        <v>10/YX</v>
      </c>
      <c r="L132" s="34" t="str">
        <f t="shared" ref="L132:L195" si="9">VLOOKUP(ROUNDDOWN(A132/120,0),$O$3:$P$12,2,FALSE)</f>
        <v>Y</v>
      </c>
      <c r="M132" s="34" t="str">
        <f t="shared" ref="M132:M195" si="10">VLOOKUP(ROUNDDOWN(A132/12,0)-ROUNDDOWN(A132/120,0)*10,$O$3:$P$12,2,FALSE)</f>
        <v>X</v>
      </c>
      <c r="N132" s="44">
        <f t="shared" ref="N132:N195" si="11">A132</f>
        <v>130</v>
      </c>
    </row>
    <row r="133" spans="1:14" x14ac:dyDescent="0.25">
      <c r="A133" s="44">
        <v>131</v>
      </c>
      <c r="B133" s="4">
        <v>2.4714999999999998</v>
      </c>
      <c r="C133" s="14">
        <v>40.091588999999999</v>
      </c>
      <c r="D133" s="14">
        <v>41.691979000000003</v>
      </c>
      <c r="E133" s="14">
        <v>139.012888</v>
      </c>
      <c r="F133" s="14">
        <v>129.29646399999999</v>
      </c>
      <c r="G133" s="14">
        <v>34.076019000000002</v>
      </c>
      <c r="H133" s="14">
        <v>34.076019000000002</v>
      </c>
      <c r="I133" s="14">
        <v>2.7794629999999998</v>
      </c>
      <c r="J133" s="22">
        <v>1.50000000000001</v>
      </c>
      <c r="K133" s="34" t="str">
        <f t="shared" si="8"/>
        <v>11/YX</v>
      </c>
      <c r="L133" s="34" t="str">
        <f t="shared" si="9"/>
        <v>Y</v>
      </c>
      <c r="M133" s="34" t="str">
        <f t="shared" si="10"/>
        <v>X</v>
      </c>
      <c r="N133" s="44">
        <f t="shared" si="11"/>
        <v>131</v>
      </c>
    </row>
    <row r="134" spans="1:14" x14ac:dyDescent="0.25">
      <c r="A134" s="44">
        <v>132</v>
      </c>
      <c r="B134" s="4">
        <v>2.4455</v>
      </c>
      <c r="C134" s="14">
        <v>40.011405000000003</v>
      </c>
      <c r="D134" s="14">
        <v>41.508533999999997</v>
      </c>
      <c r="E134" s="14">
        <v>140.06938500000001</v>
      </c>
      <c r="F134" s="14">
        <v>128.714629</v>
      </c>
      <c r="G134" s="14">
        <v>34.038535000000003</v>
      </c>
      <c r="H134" s="14">
        <v>34.038535000000003</v>
      </c>
      <c r="I134" s="14">
        <v>2.7827980000000001</v>
      </c>
      <c r="J134" s="22">
        <v>1.5899999999999801</v>
      </c>
      <c r="K134" s="34" t="str">
        <f t="shared" si="8"/>
        <v>012/YY</v>
      </c>
      <c r="L134" s="34" t="str">
        <f t="shared" si="9"/>
        <v>Y</v>
      </c>
      <c r="M134" s="34" t="str">
        <f t="shared" si="10"/>
        <v>Y</v>
      </c>
      <c r="N134" s="44">
        <f t="shared" si="11"/>
        <v>132</v>
      </c>
    </row>
    <row r="135" spans="1:14" x14ac:dyDescent="0.25">
      <c r="A135" s="44">
        <v>133</v>
      </c>
      <c r="B135" s="4">
        <v>2.3426999999999998</v>
      </c>
      <c r="C135" s="14">
        <v>40.131439</v>
      </c>
      <c r="D135" s="14">
        <v>41.367404000000001</v>
      </c>
      <c r="E135" s="14">
        <v>140.22346099999999</v>
      </c>
      <c r="F135" s="14">
        <v>128.19977</v>
      </c>
      <c r="G135" s="14">
        <v>34.048746000000001</v>
      </c>
      <c r="H135" s="14">
        <v>34.048746000000001</v>
      </c>
      <c r="I135" s="14">
        <v>2.7858589999999999</v>
      </c>
      <c r="J135" s="22">
        <v>1.51000000000003</v>
      </c>
      <c r="K135" s="34" t="str">
        <f t="shared" si="8"/>
        <v>01/YY</v>
      </c>
      <c r="L135" s="34" t="str">
        <f t="shared" si="9"/>
        <v>Y</v>
      </c>
      <c r="M135" s="34" t="str">
        <f t="shared" si="10"/>
        <v>Y</v>
      </c>
      <c r="N135" s="44">
        <f t="shared" si="11"/>
        <v>133</v>
      </c>
    </row>
    <row r="136" spans="1:14" x14ac:dyDescent="0.25">
      <c r="A136" s="44">
        <v>134</v>
      </c>
      <c r="B136" s="4">
        <v>2.3422000000000001</v>
      </c>
      <c r="C136" s="14">
        <v>40.051175999999998</v>
      </c>
      <c r="D136" s="14">
        <v>41.098514999999999</v>
      </c>
      <c r="E136" s="14">
        <v>140.25150500000001</v>
      </c>
      <c r="F136" s="14">
        <v>127.18699100000001</v>
      </c>
      <c r="G136" s="14">
        <v>34.048746000000001</v>
      </c>
      <c r="H136" s="14">
        <v>34.048746000000001</v>
      </c>
      <c r="I136" s="14">
        <v>2.7936589999999999</v>
      </c>
      <c r="J136" s="22">
        <v>1.6599999999999899</v>
      </c>
      <c r="K136" s="34" t="str">
        <f t="shared" si="8"/>
        <v>02/YY</v>
      </c>
      <c r="L136" s="34" t="str">
        <f t="shared" si="9"/>
        <v>Y</v>
      </c>
      <c r="M136" s="34" t="str">
        <f t="shared" si="10"/>
        <v>Y</v>
      </c>
      <c r="N136" s="44">
        <f t="shared" si="11"/>
        <v>134</v>
      </c>
    </row>
    <row r="137" spans="1:14" x14ac:dyDescent="0.25">
      <c r="A137" s="44">
        <v>135</v>
      </c>
      <c r="B137" s="4">
        <v>2.3012000000000001</v>
      </c>
      <c r="C137" s="14">
        <v>40.227401</v>
      </c>
      <c r="D137" s="14">
        <v>40.880692000000003</v>
      </c>
      <c r="E137" s="14">
        <v>140.58810800000001</v>
      </c>
      <c r="F137" s="14">
        <v>127.021647</v>
      </c>
      <c r="G137" s="14">
        <v>34.099818999999997</v>
      </c>
      <c r="H137" s="14">
        <v>34.099818999999997</v>
      </c>
      <c r="I137" s="14">
        <v>2.7981280000000002</v>
      </c>
      <c r="J137" s="22">
        <v>1.49999999999997</v>
      </c>
      <c r="K137" s="34" t="str">
        <f t="shared" si="8"/>
        <v>03/YY</v>
      </c>
      <c r="L137" s="34" t="str">
        <f t="shared" si="9"/>
        <v>Y</v>
      </c>
      <c r="M137" s="34" t="str">
        <f t="shared" si="10"/>
        <v>Y</v>
      </c>
      <c r="N137" s="44">
        <f t="shared" si="11"/>
        <v>135</v>
      </c>
    </row>
    <row r="138" spans="1:14" x14ac:dyDescent="0.25">
      <c r="A138" s="44">
        <v>136</v>
      </c>
      <c r="B138" s="4">
        <v>2.2511000000000001</v>
      </c>
      <c r="C138" s="14">
        <v>40.480832999999997</v>
      </c>
      <c r="D138" s="14">
        <v>41.125976000000001</v>
      </c>
      <c r="E138" s="14">
        <v>140.85522499999999</v>
      </c>
      <c r="F138" s="14">
        <v>127.821883</v>
      </c>
      <c r="G138" s="14">
        <v>34.297597000000003</v>
      </c>
      <c r="H138" s="14">
        <v>34.297597000000003</v>
      </c>
      <c r="I138" s="14">
        <v>2.8137970000000001</v>
      </c>
      <c r="J138" s="22">
        <v>1.41</v>
      </c>
      <c r="K138" s="34" t="str">
        <f t="shared" si="8"/>
        <v>04/YY</v>
      </c>
      <c r="L138" s="34" t="str">
        <f t="shared" si="9"/>
        <v>Y</v>
      </c>
      <c r="M138" s="34" t="str">
        <f t="shared" si="10"/>
        <v>Y</v>
      </c>
      <c r="N138" s="44">
        <f t="shared" si="11"/>
        <v>136</v>
      </c>
    </row>
    <row r="139" spans="1:14" x14ac:dyDescent="0.25">
      <c r="A139" s="44">
        <v>137</v>
      </c>
      <c r="B139" s="4">
        <v>2.1989999999999998</v>
      </c>
      <c r="C139" s="14">
        <v>40.598227000000001</v>
      </c>
      <c r="D139" s="14">
        <v>41.290478999999998</v>
      </c>
      <c r="E139" s="14">
        <v>141.249619</v>
      </c>
      <c r="F139" s="14">
        <v>128.243695</v>
      </c>
      <c r="G139" s="14">
        <v>34.482804000000002</v>
      </c>
      <c r="H139" s="14">
        <v>34.482804000000002</v>
      </c>
      <c r="I139" s="14">
        <v>2.835744</v>
      </c>
      <c r="J139" s="22">
        <v>1.3800000000000301</v>
      </c>
      <c r="K139" s="34" t="str">
        <f t="shared" si="8"/>
        <v>05/YY</v>
      </c>
      <c r="L139" s="34" t="str">
        <f t="shared" si="9"/>
        <v>Y</v>
      </c>
      <c r="M139" s="34" t="str">
        <f t="shared" si="10"/>
        <v>Y</v>
      </c>
      <c r="N139" s="44">
        <f t="shared" si="11"/>
        <v>137</v>
      </c>
    </row>
    <row r="140" spans="1:14" x14ac:dyDescent="0.25">
      <c r="A140" s="44">
        <v>138</v>
      </c>
      <c r="B140" s="4">
        <v>2.2957000000000001</v>
      </c>
      <c r="C140" s="14">
        <v>40.715961</v>
      </c>
      <c r="D140" s="14">
        <v>41.286349000000001</v>
      </c>
      <c r="E140" s="14">
        <v>141.77224200000001</v>
      </c>
      <c r="F140" s="14">
        <v>128.33346499999999</v>
      </c>
      <c r="G140" s="14">
        <v>34.620735000000003</v>
      </c>
      <c r="H140" s="14">
        <v>34.620735000000003</v>
      </c>
      <c r="I140" s="14">
        <v>2.8465189999999998</v>
      </c>
      <c r="J140" s="22">
        <v>1.46999999999999</v>
      </c>
      <c r="K140" s="34" t="str">
        <f t="shared" si="8"/>
        <v>06/YY</v>
      </c>
      <c r="L140" s="34" t="str">
        <f t="shared" si="9"/>
        <v>Y</v>
      </c>
      <c r="M140" s="34" t="str">
        <f t="shared" si="10"/>
        <v>Y</v>
      </c>
      <c r="N140" s="44">
        <f t="shared" si="11"/>
        <v>138</v>
      </c>
    </row>
    <row r="141" spans="1:14" x14ac:dyDescent="0.25">
      <c r="A141" s="44">
        <v>139</v>
      </c>
      <c r="B141" s="4">
        <v>2.2747000000000002</v>
      </c>
      <c r="C141" s="14">
        <v>40.919539999999998</v>
      </c>
      <c r="D141" s="14">
        <v>41.666182999999997</v>
      </c>
      <c r="E141" s="14">
        <v>142.254267</v>
      </c>
      <c r="F141" s="14">
        <v>129.257465</v>
      </c>
      <c r="G141" s="14">
        <v>34.752293000000002</v>
      </c>
      <c r="H141" s="14">
        <v>34.752293000000002</v>
      </c>
      <c r="I141" s="14">
        <v>2.8610359999999999</v>
      </c>
      <c r="J141" s="22">
        <v>1.43</v>
      </c>
      <c r="K141" s="34" t="str">
        <f t="shared" si="8"/>
        <v>07/YY</v>
      </c>
      <c r="L141" s="34" t="str">
        <f t="shared" si="9"/>
        <v>Y</v>
      </c>
      <c r="M141" s="34" t="str">
        <f t="shared" si="10"/>
        <v>Y</v>
      </c>
      <c r="N141" s="44">
        <f t="shared" si="11"/>
        <v>139</v>
      </c>
    </row>
    <row r="142" spans="1:14" x14ac:dyDescent="0.25">
      <c r="A142" s="44">
        <v>140</v>
      </c>
      <c r="B142" s="4">
        <v>2.1375000000000002</v>
      </c>
      <c r="C142" s="14">
        <v>40.907263999999998</v>
      </c>
      <c r="D142" s="14">
        <v>41.670349000000002</v>
      </c>
      <c r="E142" s="14">
        <v>142.52455</v>
      </c>
      <c r="F142" s="14">
        <v>129.17991000000001</v>
      </c>
      <c r="G142" s="14">
        <v>34.832222999999999</v>
      </c>
      <c r="H142" s="14">
        <v>34.832222999999999</v>
      </c>
      <c r="I142" s="14">
        <v>2.8759130000000002</v>
      </c>
      <c r="J142" s="22">
        <v>1.1499999999999799</v>
      </c>
      <c r="K142" s="34" t="str">
        <f t="shared" si="8"/>
        <v>08/YY</v>
      </c>
      <c r="L142" s="34" t="str">
        <f t="shared" si="9"/>
        <v>Y</v>
      </c>
      <c r="M142" s="34" t="str">
        <f t="shared" si="10"/>
        <v>Y</v>
      </c>
      <c r="N142" s="44">
        <f t="shared" si="11"/>
        <v>140</v>
      </c>
    </row>
    <row r="143" spans="1:14" x14ac:dyDescent="0.25">
      <c r="A143" s="44">
        <v>141</v>
      </c>
      <c r="B143" s="4">
        <v>2.1215000000000002</v>
      </c>
      <c r="C143" s="14">
        <v>40.964534</v>
      </c>
      <c r="D143" s="14">
        <v>41.574506999999997</v>
      </c>
      <c r="E143" s="14">
        <v>142.80959899999999</v>
      </c>
      <c r="F143" s="14">
        <v>128.5986</v>
      </c>
      <c r="G143" s="14">
        <v>34.926270000000002</v>
      </c>
      <c r="H143" s="14">
        <v>34.926270000000002</v>
      </c>
      <c r="I143" s="14">
        <v>2.8865530000000001</v>
      </c>
      <c r="J143" s="22">
        <v>1.4200000000000199</v>
      </c>
      <c r="K143" s="34" t="str">
        <f t="shared" si="8"/>
        <v>09/YY</v>
      </c>
      <c r="L143" s="34" t="str">
        <f t="shared" si="9"/>
        <v>Y</v>
      </c>
      <c r="M143" s="34" t="str">
        <f t="shared" si="10"/>
        <v>Y</v>
      </c>
      <c r="N143" s="44">
        <f t="shared" si="11"/>
        <v>141</v>
      </c>
    </row>
    <row r="144" spans="1:14" x14ac:dyDescent="0.25">
      <c r="A144" s="44">
        <v>142</v>
      </c>
      <c r="B144" s="4">
        <v>2.1425999999999998</v>
      </c>
      <c r="C144" s="14">
        <v>40.968629999999997</v>
      </c>
      <c r="D144" s="14">
        <v>41.399894000000003</v>
      </c>
      <c r="E144" s="14">
        <v>143.323713</v>
      </c>
      <c r="F144" s="14">
        <v>128.62431900000001</v>
      </c>
      <c r="G144" s="14">
        <v>34.968181000000001</v>
      </c>
      <c r="H144" s="14">
        <v>34.968181000000001</v>
      </c>
      <c r="I144" s="14">
        <v>2.8914599999999999</v>
      </c>
      <c r="J144" s="22">
        <v>1.0800000000000101</v>
      </c>
      <c r="K144" s="34" t="str">
        <f t="shared" si="8"/>
        <v>10/YY</v>
      </c>
      <c r="L144" s="34" t="str">
        <f t="shared" si="9"/>
        <v>Y</v>
      </c>
      <c r="M144" s="34" t="str">
        <f t="shared" si="10"/>
        <v>Y</v>
      </c>
      <c r="N144" s="44">
        <f t="shared" si="11"/>
        <v>142</v>
      </c>
    </row>
    <row r="145" spans="1:14" x14ac:dyDescent="0.25">
      <c r="A145" s="44">
        <v>143</v>
      </c>
      <c r="B145" s="4">
        <v>2.1774</v>
      </c>
      <c r="C145" s="14">
        <v>40.878498999999998</v>
      </c>
      <c r="D145" s="14">
        <v>41.557212999999997</v>
      </c>
      <c r="E145" s="14">
        <v>145.215586</v>
      </c>
      <c r="F145" s="14">
        <v>129.113091</v>
      </c>
      <c r="G145" s="14">
        <v>35.013638999999998</v>
      </c>
      <c r="H145" s="14">
        <v>35.013638999999998</v>
      </c>
      <c r="I145" s="14">
        <v>2.8992659999999999</v>
      </c>
      <c r="J145" s="22">
        <v>1.27999999999999</v>
      </c>
      <c r="K145" s="34" t="str">
        <f t="shared" si="8"/>
        <v>11/YY</v>
      </c>
      <c r="L145" s="34" t="str">
        <f t="shared" si="9"/>
        <v>Y</v>
      </c>
      <c r="M145" s="34" t="str">
        <f t="shared" si="10"/>
        <v>Y</v>
      </c>
      <c r="N145" s="44">
        <f t="shared" si="11"/>
        <v>143</v>
      </c>
    </row>
    <row r="146" spans="1:14" x14ac:dyDescent="0.25">
      <c r="A146" s="44">
        <v>144</v>
      </c>
      <c r="B146" s="4">
        <v>2.2845</v>
      </c>
      <c r="C146" s="14">
        <v>40.751775000000002</v>
      </c>
      <c r="D146" s="14">
        <v>41.868892000000002</v>
      </c>
      <c r="E146" s="14">
        <v>146.522526</v>
      </c>
      <c r="F146" s="14">
        <v>129.978148</v>
      </c>
      <c r="G146" s="14">
        <v>34.989128999999998</v>
      </c>
      <c r="H146" s="14">
        <v>34.989128999999998</v>
      </c>
      <c r="I146" s="14">
        <v>2.894917</v>
      </c>
      <c r="J146" s="22">
        <v>1.18</v>
      </c>
      <c r="K146" s="34" t="str">
        <f t="shared" si="8"/>
        <v>012/YW</v>
      </c>
      <c r="L146" s="34" t="str">
        <f t="shared" si="9"/>
        <v>Y</v>
      </c>
      <c r="M146" s="34" t="str">
        <f t="shared" si="10"/>
        <v>W</v>
      </c>
      <c r="N146" s="44">
        <f t="shared" si="11"/>
        <v>144</v>
      </c>
    </row>
    <row r="147" spans="1:14" x14ac:dyDescent="0.25">
      <c r="A147" s="44">
        <v>145</v>
      </c>
      <c r="B147" s="4">
        <v>2.2130000000000001</v>
      </c>
      <c r="C147" s="14">
        <v>40.837353</v>
      </c>
      <c r="D147" s="14">
        <v>41.944256000000003</v>
      </c>
      <c r="E147" s="14">
        <v>147.21118100000001</v>
      </c>
      <c r="F147" s="14">
        <v>130.19910999999999</v>
      </c>
      <c r="G147" s="14">
        <v>35.027616999999999</v>
      </c>
      <c r="H147" s="14">
        <v>35.027616999999999</v>
      </c>
      <c r="I147" s="14">
        <v>2.8943379999999999</v>
      </c>
      <c r="J147" s="22">
        <v>1.1699999999999799</v>
      </c>
      <c r="K147" s="34" t="str">
        <f t="shared" si="8"/>
        <v>01/YW</v>
      </c>
      <c r="L147" s="34" t="str">
        <f t="shared" si="9"/>
        <v>Y</v>
      </c>
      <c r="M147" s="34" t="str">
        <f t="shared" si="10"/>
        <v>W</v>
      </c>
      <c r="N147" s="44">
        <f t="shared" si="11"/>
        <v>145</v>
      </c>
    </row>
    <row r="148" spans="1:14" x14ac:dyDescent="0.25">
      <c r="A148" s="44">
        <v>146</v>
      </c>
      <c r="B148" s="4">
        <v>2.1480000000000001</v>
      </c>
      <c r="C148" s="14">
        <v>40.886356999999997</v>
      </c>
      <c r="D148" s="14">
        <v>42.099449</v>
      </c>
      <c r="E148" s="14">
        <v>147.56448700000001</v>
      </c>
      <c r="F148" s="14">
        <v>130.73292599999999</v>
      </c>
      <c r="G148" s="14">
        <v>35.020611000000002</v>
      </c>
      <c r="H148" s="14">
        <v>35.020611000000002</v>
      </c>
      <c r="I148" s="14">
        <v>2.8998370000000002</v>
      </c>
      <c r="J148" s="22">
        <v>1.25999999999999</v>
      </c>
      <c r="K148" s="34" t="str">
        <f t="shared" si="8"/>
        <v>02/YW</v>
      </c>
      <c r="L148" s="34" t="str">
        <f t="shared" si="9"/>
        <v>Y</v>
      </c>
      <c r="M148" s="34" t="str">
        <f t="shared" si="10"/>
        <v>W</v>
      </c>
      <c r="N148" s="44">
        <f t="shared" si="11"/>
        <v>146</v>
      </c>
    </row>
    <row r="149" spans="1:14" x14ac:dyDescent="0.25">
      <c r="A149" s="44">
        <v>147</v>
      </c>
      <c r="B149" s="4">
        <v>2.1539999999999999</v>
      </c>
      <c r="C149" s="14">
        <v>40.988571999999998</v>
      </c>
      <c r="D149" s="14">
        <v>42.221536999999998</v>
      </c>
      <c r="E149" s="14">
        <v>147.72680700000001</v>
      </c>
      <c r="F149" s="14">
        <v>131.046685</v>
      </c>
      <c r="G149" s="14">
        <v>35.076642999999997</v>
      </c>
      <c r="H149" s="14">
        <v>35.076642999999997</v>
      </c>
      <c r="I149" s="14">
        <v>2.9012859999999998</v>
      </c>
      <c r="J149" s="22">
        <v>1.06000000000002</v>
      </c>
      <c r="K149" s="34" t="str">
        <f t="shared" si="8"/>
        <v>03/YW</v>
      </c>
      <c r="L149" s="34" t="str">
        <f t="shared" si="9"/>
        <v>Y</v>
      </c>
      <c r="M149" s="34" t="str">
        <f t="shared" si="10"/>
        <v>W</v>
      </c>
      <c r="N149" s="44">
        <f t="shared" si="11"/>
        <v>147</v>
      </c>
    </row>
    <row r="150" spans="1:14" x14ac:dyDescent="0.25">
      <c r="A150" s="44">
        <v>148</v>
      </c>
      <c r="B150" s="4">
        <v>2.1419000000000001</v>
      </c>
      <c r="C150" s="14">
        <v>41.148426999999998</v>
      </c>
      <c r="D150" s="14">
        <v>42.419978</v>
      </c>
      <c r="E150" s="14">
        <v>148.03703300000001</v>
      </c>
      <c r="F150" s="14">
        <v>132.10816299999999</v>
      </c>
      <c r="G150" s="14">
        <v>35.227471999999999</v>
      </c>
      <c r="H150" s="14">
        <v>35.227471999999999</v>
      </c>
      <c r="I150" s="14">
        <v>2.9096989999999998</v>
      </c>
      <c r="J150" s="22">
        <v>1.0899999999999901</v>
      </c>
      <c r="K150" s="34" t="str">
        <f t="shared" si="8"/>
        <v>04/YW</v>
      </c>
      <c r="L150" s="34" t="str">
        <f t="shared" si="9"/>
        <v>Y</v>
      </c>
      <c r="M150" s="34" t="str">
        <f t="shared" si="10"/>
        <v>W</v>
      </c>
      <c r="N150" s="44">
        <f t="shared" si="11"/>
        <v>148</v>
      </c>
    </row>
    <row r="151" spans="1:14" x14ac:dyDescent="0.25">
      <c r="A151" s="44">
        <v>149</v>
      </c>
      <c r="B151" s="4">
        <v>2.1537000000000002</v>
      </c>
      <c r="C151" s="14">
        <v>41.321249999999999</v>
      </c>
      <c r="D151" s="14">
        <v>42.738126999999999</v>
      </c>
      <c r="E151" s="14">
        <v>148.37751800000001</v>
      </c>
      <c r="F151" s="14">
        <v>132.86117899999999</v>
      </c>
      <c r="G151" s="14">
        <v>35.375427000000002</v>
      </c>
      <c r="H151" s="14">
        <v>35.375427000000002</v>
      </c>
      <c r="I151" s="14">
        <v>2.9204639999999999</v>
      </c>
      <c r="J151" s="22">
        <v>1.02000000000002</v>
      </c>
      <c r="K151" s="34" t="str">
        <f t="shared" si="8"/>
        <v>05/YW</v>
      </c>
      <c r="L151" s="34" t="str">
        <f t="shared" si="9"/>
        <v>Y</v>
      </c>
      <c r="M151" s="34" t="str">
        <f t="shared" si="10"/>
        <v>W</v>
      </c>
      <c r="N151" s="44">
        <f t="shared" si="11"/>
        <v>149</v>
      </c>
    </row>
    <row r="152" spans="1:14" x14ac:dyDescent="0.25">
      <c r="A152" s="44">
        <v>150</v>
      </c>
      <c r="B152" s="4">
        <v>2.1469999999999998</v>
      </c>
      <c r="C152" s="14">
        <v>41.750990999999999</v>
      </c>
      <c r="D152" s="14">
        <v>42.874889000000003</v>
      </c>
      <c r="E152" s="14">
        <v>148.911677</v>
      </c>
      <c r="F152" s="14">
        <v>133.20661799999999</v>
      </c>
      <c r="G152" s="14">
        <v>35.594754000000002</v>
      </c>
      <c r="H152" s="14">
        <v>35.594754000000002</v>
      </c>
      <c r="I152" s="14">
        <v>2.930685</v>
      </c>
      <c r="J152" s="22">
        <v>0.99000000000000199</v>
      </c>
      <c r="K152" s="34" t="str">
        <f t="shared" si="8"/>
        <v>06/YW</v>
      </c>
      <c r="L152" s="34" t="str">
        <f t="shared" si="9"/>
        <v>Y</v>
      </c>
      <c r="M152" s="34" t="str">
        <f t="shared" si="10"/>
        <v>W</v>
      </c>
      <c r="N152" s="44">
        <f t="shared" si="11"/>
        <v>150</v>
      </c>
    </row>
    <row r="153" spans="1:14" x14ac:dyDescent="0.25">
      <c r="A153" s="44">
        <v>151</v>
      </c>
      <c r="B153" s="4">
        <v>2.1406999999999998</v>
      </c>
      <c r="C153" s="14">
        <v>42.026547000000001</v>
      </c>
      <c r="D153" s="14">
        <v>43.089263000000003</v>
      </c>
      <c r="E153" s="14">
        <v>149.58177900000001</v>
      </c>
      <c r="F153" s="14">
        <v>133.77940599999999</v>
      </c>
      <c r="G153" s="14">
        <v>35.769168000000001</v>
      </c>
      <c r="H153" s="14">
        <v>35.769168000000001</v>
      </c>
      <c r="I153" s="14">
        <v>2.9459240000000002</v>
      </c>
      <c r="J153" s="22">
        <v>1.0799999999999701</v>
      </c>
      <c r="K153" s="34" t="str">
        <f t="shared" si="8"/>
        <v>07/YW</v>
      </c>
      <c r="L153" s="34" t="str">
        <f t="shared" si="9"/>
        <v>Y</v>
      </c>
      <c r="M153" s="34" t="str">
        <f t="shared" si="10"/>
        <v>W</v>
      </c>
      <c r="N153" s="44">
        <f t="shared" si="11"/>
        <v>151</v>
      </c>
    </row>
    <row r="154" spans="1:14" x14ac:dyDescent="0.25">
      <c r="A154" s="44">
        <v>152</v>
      </c>
      <c r="B154" s="4">
        <v>2.0895999999999999</v>
      </c>
      <c r="C154" s="14">
        <v>42.165233999999998</v>
      </c>
      <c r="D154" s="14">
        <v>43.205604000000001</v>
      </c>
      <c r="E154" s="14">
        <v>149.89590000000001</v>
      </c>
      <c r="F154" s="14">
        <v>134.087098</v>
      </c>
      <c r="G154" s="14">
        <v>35.919398000000001</v>
      </c>
      <c r="H154" s="14">
        <v>35.919398000000001</v>
      </c>
      <c r="I154" s="14">
        <v>2.9594749999999999</v>
      </c>
      <c r="J154" s="22">
        <v>0.87000000000001498</v>
      </c>
      <c r="K154" s="34" t="str">
        <f t="shared" si="8"/>
        <v>08/YW</v>
      </c>
      <c r="L154" s="34" t="str">
        <f t="shared" si="9"/>
        <v>Y</v>
      </c>
      <c r="M154" s="34" t="str">
        <f t="shared" si="10"/>
        <v>W</v>
      </c>
      <c r="N154" s="44">
        <f t="shared" si="11"/>
        <v>152</v>
      </c>
    </row>
    <row r="155" spans="1:14" x14ac:dyDescent="0.25">
      <c r="A155" s="44">
        <v>153</v>
      </c>
      <c r="B155" s="4">
        <v>2.0909</v>
      </c>
      <c r="C155" s="14">
        <v>42.211615000000002</v>
      </c>
      <c r="D155" s="14">
        <v>43.352502999999999</v>
      </c>
      <c r="E155" s="14">
        <v>150.30061799999999</v>
      </c>
      <c r="F155" s="14">
        <v>134.38208900000001</v>
      </c>
      <c r="G155" s="14">
        <v>36.077443000000002</v>
      </c>
      <c r="H155" s="14">
        <v>36.077443000000002</v>
      </c>
      <c r="I155" s="14">
        <v>2.9716079999999998</v>
      </c>
      <c r="J155" s="22">
        <v>1.05</v>
      </c>
      <c r="K155" s="34" t="str">
        <f t="shared" si="8"/>
        <v>09/YW</v>
      </c>
      <c r="L155" s="34" t="str">
        <f t="shared" si="9"/>
        <v>Y</v>
      </c>
      <c r="M155" s="34" t="str">
        <f t="shared" si="10"/>
        <v>W</v>
      </c>
      <c r="N155" s="44">
        <f t="shared" si="11"/>
        <v>153</v>
      </c>
    </row>
    <row r="156" spans="1:14" x14ac:dyDescent="0.25">
      <c r="A156" s="44">
        <v>154</v>
      </c>
      <c r="B156" s="4">
        <v>2.0230999999999999</v>
      </c>
      <c r="C156" s="14">
        <v>42.350912999999998</v>
      </c>
      <c r="D156" s="14">
        <v>43.369844000000001</v>
      </c>
      <c r="E156" s="14">
        <v>150.99199999999999</v>
      </c>
      <c r="F156" s="14">
        <v>134.570223</v>
      </c>
      <c r="G156" s="14">
        <v>36.171244000000002</v>
      </c>
      <c r="H156" s="14">
        <v>36.171244000000002</v>
      </c>
      <c r="I156" s="14">
        <v>2.978145</v>
      </c>
      <c r="J156" s="22">
        <v>0.93999999999998496</v>
      </c>
      <c r="K156" s="34" t="str">
        <f t="shared" si="8"/>
        <v>10/YW</v>
      </c>
      <c r="L156" s="34" t="str">
        <f t="shared" si="9"/>
        <v>Y</v>
      </c>
      <c r="M156" s="34" t="str">
        <f t="shared" si="10"/>
        <v>W</v>
      </c>
      <c r="N156" s="44">
        <f t="shared" si="11"/>
        <v>154</v>
      </c>
    </row>
    <row r="157" spans="1:14" x14ac:dyDescent="0.25">
      <c r="A157" s="44">
        <v>155</v>
      </c>
      <c r="B157" s="4">
        <v>1.9922</v>
      </c>
      <c r="C157" s="14">
        <v>42.503376000000003</v>
      </c>
      <c r="D157" s="14">
        <v>43.387191000000001</v>
      </c>
      <c r="E157" s="14">
        <v>152.728408</v>
      </c>
      <c r="F157" s="14">
        <v>134.78553500000001</v>
      </c>
      <c r="G157" s="14">
        <v>36.265289000000003</v>
      </c>
      <c r="H157" s="14">
        <v>36.265289000000003</v>
      </c>
      <c r="I157" s="14">
        <v>2.9858880000000001</v>
      </c>
      <c r="J157" s="22">
        <v>1.03</v>
      </c>
      <c r="K157" s="34" t="str">
        <f t="shared" si="8"/>
        <v>11/YW</v>
      </c>
      <c r="L157" s="34" t="str">
        <f t="shared" si="9"/>
        <v>Y</v>
      </c>
      <c r="M157" s="34" t="str">
        <f t="shared" si="10"/>
        <v>W</v>
      </c>
      <c r="N157" s="44">
        <f t="shared" si="11"/>
        <v>155</v>
      </c>
    </row>
    <row r="158" spans="1:14" x14ac:dyDescent="0.25">
      <c r="A158" s="44">
        <v>156</v>
      </c>
      <c r="B158" s="4">
        <v>1.9097</v>
      </c>
      <c r="C158" s="14">
        <v>42.737144000000001</v>
      </c>
      <c r="D158" s="14">
        <v>43.499997</v>
      </c>
      <c r="E158" s="14">
        <v>154.133509</v>
      </c>
      <c r="F158" s="14">
        <v>135.135977</v>
      </c>
      <c r="G158" s="14">
        <v>36.377710999999998</v>
      </c>
      <c r="H158" s="14">
        <v>36.377710999999998</v>
      </c>
      <c r="I158" s="14">
        <v>2.9945469999999998</v>
      </c>
      <c r="J158" s="22">
        <v>0.91000000000001102</v>
      </c>
      <c r="K158" s="34" t="str">
        <f t="shared" si="8"/>
        <v>012/YZ</v>
      </c>
      <c r="L158" s="34" t="str">
        <f t="shared" si="9"/>
        <v>Y</v>
      </c>
      <c r="M158" s="34" t="str">
        <f t="shared" si="10"/>
        <v>Z</v>
      </c>
      <c r="N158" s="44">
        <f t="shared" si="11"/>
        <v>156</v>
      </c>
    </row>
    <row r="159" spans="1:14" x14ac:dyDescent="0.25">
      <c r="A159" s="44">
        <v>157</v>
      </c>
      <c r="B159" s="4">
        <v>1.8684000000000001</v>
      </c>
      <c r="C159" s="14">
        <v>42.852533999999999</v>
      </c>
      <c r="D159" s="14">
        <v>43.621796000000003</v>
      </c>
      <c r="E159" s="14">
        <v>154.611322</v>
      </c>
      <c r="F159" s="14">
        <v>135.63597999999999</v>
      </c>
      <c r="G159" s="14">
        <v>36.494118999999998</v>
      </c>
      <c r="H159" s="14">
        <v>36.494118999999998</v>
      </c>
      <c r="I159" s="14">
        <v>3.0017330000000002</v>
      </c>
      <c r="J159" s="22">
        <v>0.97000000000000397</v>
      </c>
      <c r="K159" s="34" t="str">
        <f t="shared" si="8"/>
        <v>01/YZ</v>
      </c>
      <c r="L159" s="34" t="str">
        <f t="shared" si="9"/>
        <v>Y</v>
      </c>
      <c r="M159" s="34" t="str">
        <f t="shared" si="10"/>
        <v>Z</v>
      </c>
      <c r="N159" s="44">
        <f t="shared" si="11"/>
        <v>157</v>
      </c>
    </row>
    <row r="160" spans="1:14" x14ac:dyDescent="0.25">
      <c r="A160" s="44">
        <v>158</v>
      </c>
      <c r="B160" s="4">
        <v>2.0043000000000002</v>
      </c>
      <c r="C160" s="14">
        <v>42.882530000000003</v>
      </c>
      <c r="D160" s="14">
        <v>44.049289000000002</v>
      </c>
      <c r="E160" s="14">
        <v>155.01331099999999</v>
      </c>
      <c r="F160" s="14">
        <v>137.52132</v>
      </c>
      <c r="G160" s="14">
        <v>36.709434000000002</v>
      </c>
      <c r="H160" s="14">
        <v>36.709434000000002</v>
      </c>
      <c r="I160" s="14">
        <v>3.0143399999999998</v>
      </c>
      <c r="J160" s="22">
        <v>0.99000000000000199</v>
      </c>
      <c r="K160" s="34" t="str">
        <f t="shared" si="8"/>
        <v>02/YZ</v>
      </c>
      <c r="L160" s="34" t="str">
        <f t="shared" si="9"/>
        <v>Y</v>
      </c>
      <c r="M160" s="34" t="str">
        <f t="shared" si="10"/>
        <v>Z</v>
      </c>
      <c r="N160" s="44">
        <f t="shared" si="11"/>
        <v>158</v>
      </c>
    </row>
    <row r="161" spans="1:14" x14ac:dyDescent="0.25">
      <c r="A161" s="44">
        <v>159</v>
      </c>
      <c r="B161" s="4">
        <v>1.9031</v>
      </c>
      <c r="C161" s="14">
        <v>42.985447999999998</v>
      </c>
      <c r="D161" s="14">
        <v>44.617524000000003</v>
      </c>
      <c r="E161" s="14">
        <v>155.803878</v>
      </c>
      <c r="F161" s="14">
        <v>139.13031899999999</v>
      </c>
      <c r="G161" s="14">
        <v>36.801206999999998</v>
      </c>
      <c r="H161" s="14">
        <v>36.801206999999998</v>
      </c>
      <c r="I161" s="14">
        <v>3.0230809999999999</v>
      </c>
      <c r="J161" s="22">
        <v>0.80000000000000104</v>
      </c>
      <c r="K161" s="34" t="str">
        <f t="shared" si="8"/>
        <v>03/YZ</v>
      </c>
      <c r="L161" s="34" t="str">
        <f t="shared" si="9"/>
        <v>Y</v>
      </c>
      <c r="M161" s="34" t="str">
        <f t="shared" si="10"/>
        <v>Z</v>
      </c>
      <c r="N161" s="44">
        <f t="shared" si="11"/>
        <v>159</v>
      </c>
    </row>
    <row r="162" spans="1:14" x14ac:dyDescent="0.25">
      <c r="A162" s="44">
        <v>160</v>
      </c>
      <c r="B162" s="4">
        <v>1.8078000000000001</v>
      </c>
      <c r="C162" s="14">
        <v>43.019835999999998</v>
      </c>
      <c r="D162" s="14">
        <v>45.086008</v>
      </c>
      <c r="E162" s="14">
        <v>156.598477</v>
      </c>
      <c r="F162" s="14">
        <v>140.17379600000001</v>
      </c>
      <c r="G162" s="14">
        <v>36.911610000000003</v>
      </c>
      <c r="H162" s="14">
        <v>36.911610000000003</v>
      </c>
      <c r="I162" s="14">
        <v>3.0303360000000001</v>
      </c>
      <c r="J162" s="22">
        <v>0.93000000000000904</v>
      </c>
      <c r="K162" s="34" t="str">
        <f t="shared" si="8"/>
        <v>04/YZ</v>
      </c>
      <c r="L162" s="34" t="str">
        <f t="shared" si="9"/>
        <v>Y</v>
      </c>
      <c r="M162" s="34" t="str">
        <f t="shared" si="10"/>
        <v>Z</v>
      </c>
      <c r="N162" s="44">
        <f t="shared" si="11"/>
        <v>160</v>
      </c>
    </row>
    <row r="163" spans="1:14" x14ac:dyDescent="0.25">
      <c r="A163" s="44">
        <v>161</v>
      </c>
      <c r="B163" s="4">
        <v>1.7378</v>
      </c>
      <c r="C163" s="14">
        <v>43.222028999999999</v>
      </c>
      <c r="D163" s="14">
        <v>45.397100999999999</v>
      </c>
      <c r="E163" s="14">
        <v>157.16223099999999</v>
      </c>
      <c r="F163" s="14">
        <v>141.64562000000001</v>
      </c>
      <c r="G163" s="14">
        <v>37.070329000000001</v>
      </c>
      <c r="H163" s="14">
        <v>37.070329000000001</v>
      </c>
      <c r="I163" s="14">
        <v>3.0373049999999999</v>
      </c>
      <c r="J163" s="22">
        <v>0.83999999999999597</v>
      </c>
      <c r="K163" s="34" t="str">
        <f t="shared" si="8"/>
        <v>05/YZ</v>
      </c>
      <c r="L163" s="34" t="str">
        <f t="shared" si="9"/>
        <v>Y</v>
      </c>
      <c r="M163" s="34" t="str">
        <f t="shared" si="10"/>
        <v>Z</v>
      </c>
      <c r="N163" s="44">
        <f t="shared" si="11"/>
        <v>161</v>
      </c>
    </row>
    <row r="164" spans="1:14" x14ac:dyDescent="0.25">
      <c r="A164" s="44">
        <v>162</v>
      </c>
      <c r="B164" s="4">
        <v>1.7959000000000001</v>
      </c>
      <c r="C164" s="14">
        <v>43.576448999999997</v>
      </c>
      <c r="D164" s="14">
        <v>46.196089000000001</v>
      </c>
      <c r="E164" s="14">
        <v>158.08948799999999</v>
      </c>
      <c r="F164" s="14">
        <v>143.72781000000001</v>
      </c>
      <c r="G164" s="14">
        <v>37.429910999999997</v>
      </c>
      <c r="H164" s="14">
        <v>37.429910999999997</v>
      </c>
      <c r="I164" s="14">
        <v>3.0585659999999999</v>
      </c>
      <c r="J164" s="22">
        <v>0.83999999999999597</v>
      </c>
      <c r="K164" s="34" t="str">
        <f t="shared" si="8"/>
        <v>06/YZ</v>
      </c>
      <c r="L164" s="34" t="str">
        <f t="shared" si="9"/>
        <v>Y</v>
      </c>
      <c r="M164" s="34" t="str">
        <f t="shared" si="10"/>
        <v>Z</v>
      </c>
      <c r="N164" s="44">
        <f t="shared" si="11"/>
        <v>162</v>
      </c>
    </row>
    <row r="165" spans="1:14" x14ac:dyDescent="0.25">
      <c r="A165" s="44">
        <v>163</v>
      </c>
      <c r="B165" s="4">
        <v>1.7450000000000001</v>
      </c>
      <c r="C165" s="14">
        <v>43.803046000000002</v>
      </c>
      <c r="D165" s="14">
        <v>46.699626000000002</v>
      </c>
      <c r="E165" s="14">
        <v>158.69022799999999</v>
      </c>
      <c r="F165" s="14">
        <v>145.15071499999999</v>
      </c>
      <c r="G165" s="14">
        <v>37.688177000000003</v>
      </c>
      <c r="H165" s="14">
        <v>37.688177000000003</v>
      </c>
      <c r="I165" s="14">
        <v>3.0799750000000001</v>
      </c>
      <c r="J165" s="22">
        <v>0.93000000000000904</v>
      </c>
      <c r="K165" s="34" t="str">
        <f t="shared" si="8"/>
        <v>07/YZ</v>
      </c>
      <c r="L165" s="34" t="str">
        <f t="shared" si="9"/>
        <v>Y</v>
      </c>
      <c r="M165" s="34" t="str">
        <f t="shared" si="10"/>
        <v>Z</v>
      </c>
      <c r="N165" s="44">
        <f t="shared" si="11"/>
        <v>163</v>
      </c>
    </row>
    <row r="166" spans="1:14" x14ac:dyDescent="0.25">
      <c r="A166" s="44">
        <v>164</v>
      </c>
      <c r="B166" s="4">
        <v>1.7541</v>
      </c>
      <c r="C166" s="14">
        <v>43.886271000000001</v>
      </c>
      <c r="D166" s="14">
        <v>46.947133999999998</v>
      </c>
      <c r="E166" s="14">
        <v>159.32498799999999</v>
      </c>
      <c r="F166" s="14">
        <v>145.70228700000001</v>
      </c>
      <c r="G166" s="14">
        <v>37.869079999999997</v>
      </c>
      <c r="H166" s="14">
        <v>37.869079999999997</v>
      </c>
      <c r="I166" s="14">
        <v>3.0996860000000002</v>
      </c>
      <c r="J166" s="22">
        <v>0.80000000000000104</v>
      </c>
      <c r="K166" s="34" t="str">
        <f t="shared" si="8"/>
        <v>08/YZ</v>
      </c>
      <c r="L166" s="34" t="str">
        <f t="shared" si="9"/>
        <v>Y</v>
      </c>
      <c r="M166" s="34" t="str">
        <f t="shared" si="10"/>
        <v>Z</v>
      </c>
      <c r="N166" s="44">
        <f t="shared" si="11"/>
        <v>164</v>
      </c>
    </row>
    <row r="167" spans="1:14" x14ac:dyDescent="0.25">
      <c r="A167" s="44">
        <v>165</v>
      </c>
      <c r="B167" s="4">
        <v>1.6947000000000001</v>
      </c>
      <c r="C167" s="14">
        <v>44.022317999999999</v>
      </c>
      <c r="D167" s="14">
        <v>47.294542</v>
      </c>
      <c r="E167" s="14">
        <v>160.376532</v>
      </c>
      <c r="F167" s="14">
        <v>146.72220300000001</v>
      </c>
      <c r="G167" s="14">
        <v>38.062212000000002</v>
      </c>
      <c r="H167" s="14">
        <v>38.062212000000002</v>
      </c>
      <c r="I167" s="14">
        <v>3.1068150000000001</v>
      </c>
      <c r="J167" s="22">
        <v>0.83999999999999597</v>
      </c>
      <c r="K167" s="34" t="str">
        <f t="shared" si="8"/>
        <v>09/YZ</v>
      </c>
      <c r="L167" s="34" t="str">
        <f t="shared" si="9"/>
        <v>Y</v>
      </c>
      <c r="M167" s="34" t="str">
        <f t="shared" si="10"/>
        <v>Z</v>
      </c>
      <c r="N167" s="44">
        <f t="shared" si="11"/>
        <v>165</v>
      </c>
    </row>
    <row r="168" spans="1:14" x14ac:dyDescent="0.25">
      <c r="A168" s="44">
        <v>166</v>
      </c>
      <c r="B168" s="4">
        <v>1.6821999999999999</v>
      </c>
      <c r="C168" s="14">
        <v>44.260038000000002</v>
      </c>
      <c r="D168" s="14">
        <v>47.620874000000001</v>
      </c>
      <c r="E168" s="14">
        <v>161.771807</v>
      </c>
      <c r="F168" s="14">
        <v>148.36549099999999</v>
      </c>
      <c r="G168" s="14">
        <v>38.305810000000001</v>
      </c>
      <c r="H168" s="14">
        <v>38.305810000000001</v>
      </c>
      <c r="I168" s="14">
        <v>3.1251449999999998</v>
      </c>
      <c r="J168" s="22">
        <v>0.89999999999999003</v>
      </c>
      <c r="K168" s="34" t="str">
        <f t="shared" si="8"/>
        <v>10/YZ</v>
      </c>
      <c r="L168" s="34" t="str">
        <f t="shared" si="9"/>
        <v>Y</v>
      </c>
      <c r="M168" s="34" t="str">
        <f t="shared" si="10"/>
        <v>Z</v>
      </c>
      <c r="N168" s="44">
        <f t="shared" si="11"/>
        <v>166</v>
      </c>
    </row>
    <row r="169" spans="1:14" x14ac:dyDescent="0.25">
      <c r="A169" s="44">
        <v>167</v>
      </c>
      <c r="B169" s="4">
        <v>1.6600999999999999</v>
      </c>
      <c r="C169" s="14">
        <v>44.804436000000003</v>
      </c>
      <c r="D169" s="14">
        <v>48.387569999999997</v>
      </c>
      <c r="E169" s="14">
        <v>165.03959699999999</v>
      </c>
      <c r="F169" s="14">
        <v>151.15476200000001</v>
      </c>
      <c r="G169" s="14">
        <v>38.673544999999997</v>
      </c>
      <c r="H169" s="14">
        <v>38.673544999999997</v>
      </c>
      <c r="I169" s="14">
        <v>3.1426449999999999</v>
      </c>
      <c r="J169" s="22">
        <v>0.87999999999999201</v>
      </c>
      <c r="K169" s="34" t="str">
        <f t="shared" si="8"/>
        <v>11/YZ</v>
      </c>
      <c r="L169" s="34" t="str">
        <f t="shared" si="9"/>
        <v>Y</v>
      </c>
      <c r="M169" s="34" t="str">
        <f t="shared" si="10"/>
        <v>Z</v>
      </c>
      <c r="N169" s="44">
        <f t="shared" si="11"/>
        <v>167</v>
      </c>
    </row>
    <row r="170" spans="1:14" x14ac:dyDescent="0.25">
      <c r="A170" s="44">
        <v>168</v>
      </c>
      <c r="B170" s="4">
        <v>1.6368</v>
      </c>
      <c r="C170" s="14">
        <v>45.234558</v>
      </c>
      <c r="D170" s="14">
        <v>49.345643000000003</v>
      </c>
      <c r="E170" s="14">
        <v>168.20835700000001</v>
      </c>
      <c r="F170" s="14">
        <v>154.01158699999999</v>
      </c>
      <c r="G170" s="14">
        <v>39.025474000000003</v>
      </c>
      <c r="H170" s="14">
        <v>39.025474000000003</v>
      </c>
      <c r="I170" s="14">
        <v>3.170928</v>
      </c>
      <c r="J170" s="22">
        <v>0.96000000000002705</v>
      </c>
      <c r="K170" s="34" t="str">
        <f t="shared" si="8"/>
        <v>012/YS</v>
      </c>
      <c r="L170" s="34" t="str">
        <f t="shared" si="9"/>
        <v>Y</v>
      </c>
      <c r="M170" s="34" t="str">
        <f t="shared" si="10"/>
        <v>S</v>
      </c>
      <c r="N170" s="44">
        <f t="shared" si="11"/>
        <v>168</v>
      </c>
    </row>
    <row r="171" spans="1:14" x14ac:dyDescent="0.25">
      <c r="A171" s="44">
        <v>169</v>
      </c>
      <c r="B171" s="4">
        <v>1.591</v>
      </c>
      <c r="C171" s="14">
        <v>45.438113000000001</v>
      </c>
      <c r="D171" s="14">
        <v>50.214126</v>
      </c>
      <c r="E171" s="14">
        <v>170.664199</v>
      </c>
      <c r="F171" s="14">
        <v>155.73651599999999</v>
      </c>
      <c r="G171" s="14">
        <v>39.251821</v>
      </c>
      <c r="H171" s="14">
        <v>39.251821</v>
      </c>
      <c r="I171" s="14">
        <v>3.1909040000000002</v>
      </c>
      <c r="J171" s="22">
        <v>1.0699999999999901</v>
      </c>
      <c r="K171" s="34" t="str">
        <f t="shared" si="8"/>
        <v>01/YS</v>
      </c>
      <c r="L171" s="34" t="str">
        <f t="shared" si="9"/>
        <v>Y</v>
      </c>
      <c r="M171" s="34" t="str">
        <f t="shared" si="10"/>
        <v>S</v>
      </c>
      <c r="N171" s="44">
        <f t="shared" si="11"/>
        <v>169</v>
      </c>
    </row>
    <row r="172" spans="1:14" x14ac:dyDescent="0.25">
      <c r="A172" s="44">
        <v>170</v>
      </c>
      <c r="B172" s="4">
        <v>1.6389</v>
      </c>
      <c r="C172" s="14">
        <v>45.610776999999999</v>
      </c>
      <c r="D172" s="14">
        <v>50.053440000000002</v>
      </c>
      <c r="E172" s="14">
        <v>172.67803599999999</v>
      </c>
      <c r="F172" s="14">
        <v>155.14471700000001</v>
      </c>
      <c r="G172" s="14">
        <v>39.334249</v>
      </c>
      <c r="H172" s="14">
        <v>39.334249</v>
      </c>
      <c r="I172" s="14">
        <v>3.2020719999999998</v>
      </c>
      <c r="J172" s="22">
        <v>1.01999999999998</v>
      </c>
      <c r="K172" s="34" t="str">
        <f t="shared" si="8"/>
        <v>02/YS</v>
      </c>
      <c r="L172" s="34" t="str">
        <f t="shared" si="9"/>
        <v>Y</v>
      </c>
      <c r="M172" s="34" t="str">
        <f t="shared" si="10"/>
        <v>S</v>
      </c>
      <c r="N172" s="44">
        <f t="shared" si="11"/>
        <v>170</v>
      </c>
    </row>
    <row r="173" spans="1:14" x14ac:dyDescent="0.25">
      <c r="A173" s="44">
        <v>171</v>
      </c>
      <c r="B173" s="4">
        <v>1.8125</v>
      </c>
      <c r="C173" s="14">
        <v>45.784097000000003</v>
      </c>
      <c r="D173" s="14">
        <v>50.108497999999997</v>
      </c>
      <c r="E173" s="14">
        <v>174.318477</v>
      </c>
      <c r="F173" s="14">
        <v>155.703237</v>
      </c>
      <c r="G173" s="14">
        <v>39.393250000000002</v>
      </c>
      <c r="H173" s="14">
        <v>39.393250000000002</v>
      </c>
      <c r="I173" s="14">
        <v>3.2103969999999999</v>
      </c>
      <c r="J173" s="22">
        <v>1.1000000000000101</v>
      </c>
      <c r="K173" s="34" t="str">
        <f t="shared" si="8"/>
        <v>03/YS</v>
      </c>
      <c r="L173" s="34" t="str">
        <f t="shared" si="9"/>
        <v>Y</v>
      </c>
      <c r="M173" s="34" t="str">
        <f t="shared" si="10"/>
        <v>S</v>
      </c>
      <c r="N173" s="44">
        <f t="shared" si="11"/>
        <v>171</v>
      </c>
    </row>
    <row r="174" spans="1:14" x14ac:dyDescent="0.25">
      <c r="A174" s="44">
        <v>172</v>
      </c>
      <c r="B174" s="4">
        <v>2.1551</v>
      </c>
      <c r="C174" s="14">
        <v>46.013016999999998</v>
      </c>
      <c r="D174" s="14">
        <v>50.599561000000001</v>
      </c>
      <c r="E174" s="14">
        <v>175.660729</v>
      </c>
      <c r="F174" s="14">
        <v>157.40040200000001</v>
      </c>
      <c r="G174" s="14">
        <v>39.590215999999998</v>
      </c>
      <c r="H174" s="14">
        <v>39.590215999999998</v>
      </c>
      <c r="I174" s="14">
        <v>3.2200280000000001</v>
      </c>
      <c r="J174" s="22">
        <v>1.18</v>
      </c>
      <c r="K174" s="34" t="str">
        <f t="shared" si="8"/>
        <v>04/YS</v>
      </c>
      <c r="L174" s="34" t="str">
        <f t="shared" si="9"/>
        <v>Y</v>
      </c>
      <c r="M174" s="34" t="str">
        <f t="shared" si="10"/>
        <v>S</v>
      </c>
      <c r="N174" s="44">
        <f t="shared" si="11"/>
        <v>172</v>
      </c>
    </row>
    <row r="175" spans="1:14" x14ac:dyDescent="0.25">
      <c r="A175" s="44">
        <v>173</v>
      </c>
      <c r="B175" s="4">
        <v>2.2799999999999998</v>
      </c>
      <c r="C175" s="14">
        <v>46.192467000000001</v>
      </c>
      <c r="D175" s="14">
        <v>50.791839000000003</v>
      </c>
      <c r="E175" s="14">
        <v>176.53903199999999</v>
      </c>
      <c r="F175" s="14">
        <v>157.510582</v>
      </c>
      <c r="G175" s="14">
        <v>39.740658000000003</v>
      </c>
      <c r="H175" s="14">
        <v>39.740658000000003</v>
      </c>
      <c r="I175" s="14">
        <v>3.2358060000000002</v>
      </c>
      <c r="J175" s="22">
        <v>1.02000000000002</v>
      </c>
      <c r="K175" s="34" t="str">
        <f t="shared" si="8"/>
        <v>05/YS</v>
      </c>
      <c r="L175" s="34" t="str">
        <f t="shared" si="9"/>
        <v>Y</v>
      </c>
      <c r="M175" s="34" t="str">
        <f t="shared" si="10"/>
        <v>S</v>
      </c>
      <c r="N175" s="44">
        <f t="shared" si="11"/>
        <v>173</v>
      </c>
    </row>
    <row r="176" spans="1:14" x14ac:dyDescent="0.25">
      <c r="A176" s="44">
        <v>174</v>
      </c>
      <c r="B176" s="4">
        <v>2.3690000000000002</v>
      </c>
      <c r="C176" s="14">
        <v>46.266373999999999</v>
      </c>
      <c r="D176" s="14">
        <v>50.725808999999998</v>
      </c>
      <c r="E176" s="14">
        <v>176.83914799999999</v>
      </c>
      <c r="F176" s="14">
        <v>156.81753499999999</v>
      </c>
      <c r="G176" s="14">
        <v>39.855905</v>
      </c>
      <c r="H176" s="14">
        <v>39.855905</v>
      </c>
      <c r="I176" s="14">
        <v>3.2451889999999999</v>
      </c>
      <c r="J176" s="22">
        <v>1.1199999999999699</v>
      </c>
      <c r="K176" s="34" t="str">
        <f t="shared" si="8"/>
        <v>06/YS</v>
      </c>
      <c r="L176" s="34" t="str">
        <f t="shared" si="9"/>
        <v>Y</v>
      </c>
      <c r="M176" s="34" t="str">
        <f t="shared" si="10"/>
        <v>S</v>
      </c>
      <c r="N176" s="44">
        <f t="shared" si="11"/>
        <v>174</v>
      </c>
    </row>
    <row r="177" spans="1:14" x14ac:dyDescent="0.25">
      <c r="A177" s="44">
        <v>175</v>
      </c>
      <c r="B177" s="4">
        <v>2.3803000000000001</v>
      </c>
      <c r="C177" s="14">
        <v>46.479199000000001</v>
      </c>
      <c r="D177" s="14">
        <v>50.502614999999999</v>
      </c>
      <c r="E177" s="14">
        <v>177.42271700000001</v>
      </c>
      <c r="F177" s="14">
        <v>156.83321599999999</v>
      </c>
      <c r="G177" s="14">
        <v>40.110982</v>
      </c>
      <c r="H177" s="14">
        <v>40.110982</v>
      </c>
      <c r="I177" s="14">
        <v>3.2581690000000001</v>
      </c>
      <c r="J177" s="22">
        <v>1.05</v>
      </c>
      <c r="K177" s="34" t="str">
        <f t="shared" si="8"/>
        <v>07/YS</v>
      </c>
      <c r="L177" s="34" t="str">
        <f t="shared" si="9"/>
        <v>Y</v>
      </c>
      <c r="M177" s="34" t="str">
        <f t="shared" si="10"/>
        <v>S</v>
      </c>
      <c r="N177" s="44">
        <f t="shared" si="11"/>
        <v>175</v>
      </c>
    </row>
    <row r="178" spans="1:14" x14ac:dyDescent="0.25">
      <c r="A178" s="44">
        <v>176</v>
      </c>
      <c r="B178" s="4">
        <v>2.2679999999999998</v>
      </c>
      <c r="C178" s="14">
        <v>46.604692</v>
      </c>
      <c r="D178" s="14">
        <v>50.633921000000001</v>
      </c>
      <c r="E178" s="14">
        <v>177.901758</v>
      </c>
      <c r="F178" s="14">
        <v>156.62933200000001</v>
      </c>
      <c r="G178" s="14">
        <v>40.235326000000001</v>
      </c>
      <c r="H178" s="14">
        <v>40.235326000000001</v>
      </c>
      <c r="I178" s="14">
        <v>3.2786949999999999</v>
      </c>
      <c r="J178" s="22">
        <v>0.86000000000003896</v>
      </c>
      <c r="K178" s="34" t="str">
        <f t="shared" si="8"/>
        <v>08/YS</v>
      </c>
      <c r="L178" s="34" t="str">
        <f t="shared" si="9"/>
        <v>Y</v>
      </c>
      <c r="M178" s="34" t="str">
        <f t="shared" si="10"/>
        <v>S</v>
      </c>
      <c r="N178" s="44">
        <f t="shared" si="11"/>
        <v>176</v>
      </c>
    </row>
    <row r="179" spans="1:14" x14ac:dyDescent="0.25">
      <c r="A179" s="44">
        <v>177</v>
      </c>
      <c r="B179" s="4">
        <v>2.3012000000000001</v>
      </c>
      <c r="C179" s="14">
        <v>46.791110000000003</v>
      </c>
      <c r="D179" s="14">
        <v>50.259228999999998</v>
      </c>
      <c r="E179" s="14">
        <v>177.45700299999999</v>
      </c>
      <c r="F179" s="14">
        <v>155.31364500000001</v>
      </c>
      <c r="G179" s="14">
        <v>40.315795999999999</v>
      </c>
      <c r="H179" s="14">
        <v>40.315795999999999</v>
      </c>
      <c r="I179" s="14">
        <v>3.2823009999999999</v>
      </c>
      <c r="J179" s="22">
        <v>0.96999999999996001</v>
      </c>
      <c r="K179" s="34" t="str">
        <f t="shared" si="8"/>
        <v>09/YS</v>
      </c>
      <c r="L179" s="34" t="str">
        <f t="shared" si="9"/>
        <v>Y</v>
      </c>
      <c r="M179" s="34" t="str">
        <f t="shared" si="10"/>
        <v>S</v>
      </c>
      <c r="N179" s="44">
        <f t="shared" si="11"/>
        <v>177</v>
      </c>
    </row>
    <row r="180" spans="1:14" x14ac:dyDescent="0.25">
      <c r="A180" s="44">
        <v>178</v>
      </c>
      <c r="B180" s="4">
        <v>2.1991999999999998</v>
      </c>
      <c r="C180" s="14">
        <v>46.936162000000003</v>
      </c>
      <c r="D180" s="14">
        <v>50.183840000000004</v>
      </c>
      <c r="E180" s="14">
        <v>177.38602</v>
      </c>
      <c r="F180" s="14">
        <v>155.37576999999999</v>
      </c>
      <c r="G180" s="14">
        <v>40.537531999999999</v>
      </c>
      <c r="H180" s="14">
        <v>40.537531999999999</v>
      </c>
      <c r="I180" s="14">
        <v>3.294117</v>
      </c>
      <c r="J180" s="22">
        <v>0.84000000000004105</v>
      </c>
      <c r="K180" s="34" t="str">
        <f t="shared" si="8"/>
        <v>10/YS</v>
      </c>
      <c r="L180" s="34" t="str">
        <f t="shared" si="9"/>
        <v>Y</v>
      </c>
      <c r="M180" s="34" t="str">
        <f t="shared" si="10"/>
        <v>S</v>
      </c>
      <c r="N180" s="44">
        <f t="shared" si="11"/>
        <v>178</v>
      </c>
    </row>
    <row r="181" spans="1:14" x14ac:dyDescent="0.25">
      <c r="A181" s="44">
        <v>179</v>
      </c>
      <c r="B181" s="4">
        <v>2.0762</v>
      </c>
      <c r="C181" s="14">
        <v>47.091051</v>
      </c>
      <c r="D181" s="14">
        <v>50.148710999999999</v>
      </c>
      <c r="E181" s="14">
        <v>179.851685</v>
      </c>
      <c r="F181" s="14">
        <v>155.65544600000001</v>
      </c>
      <c r="G181" s="14">
        <v>40.780757000000001</v>
      </c>
      <c r="H181" s="14">
        <v>40.780757000000001</v>
      </c>
      <c r="I181" s="14">
        <v>3.3135520000000001</v>
      </c>
      <c r="J181" s="22">
        <v>0.76999999999998203</v>
      </c>
      <c r="K181" s="34" t="str">
        <f t="shared" si="8"/>
        <v>11/YS</v>
      </c>
      <c r="L181" s="34" t="str">
        <f t="shared" si="9"/>
        <v>Y</v>
      </c>
      <c r="M181" s="34" t="str">
        <f t="shared" si="10"/>
        <v>S</v>
      </c>
      <c r="N181" s="44">
        <f t="shared" si="11"/>
        <v>179</v>
      </c>
    </row>
    <row r="182" spans="1:14" x14ac:dyDescent="0.25">
      <c r="A182" s="44">
        <v>180</v>
      </c>
      <c r="B182" s="4">
        <v>1.9458</v>
      </c>
      <c r="C182" s="14">
        <v>47.152268999999997</v>
      </c>
      <c r="D182" s="14">
        <v>50.098562000000001</v>
      </c>
      <c r="E182" s="14">
        <v>181.110646</v>
      </c>
      <c r="F182" s="14">
        <v>155.15734800000001</v>
      </c>
      <c r="G182" s="14">
        <v>40.952036</v>
      </c>
      <c r="H182" s="14">
        <v>40.951219999999999</v>
      </c>
      <c r="I182" s="14">
        <v>3.3261430000000001</v>
      </c>
      <c r="J182" s="22">
        <v>0.760000000000005</v>
      </c>
      <c r="K182" s="34" t="str">
        <f t="shared" si="8"/>
        <v>012/YD</v>
      </c>
      <c r="L182" s="34" t="str">
        <f t="shared" si="9"/>
        <v>Y</v>
      </c>
      <c r="M182" s="34" t="str">
        <f t="shared" si="10"/>
        <v>D</v>
      </c>
      <c r="N182" s="44">
        <f t="shared" si="11"/>
        <v>180</v>
      </c>
    </row>
    <row r="183" spans="1:14" x14ac:dyDescent="0.25">
      <c r="A183" s="44">
        <v>181</v>
      </c>
      <c r="B183" s="4">
        <v>1.9419999999999999</v>
      </c>
      <c r="C183" s="14">
        <v>47.307870999999999</v>
      </c>
      <c r="D183" s="14">
        <v>49.883138000000002</v>
      </c>
      <c r="E183" s="14">
        <v>181.58153300000001</v>
      </c>
      <c r="F183" s="14">
        <v>154.16434000000001</v>
      </c>
      <c r="G183" s="14">
        <v>41.046225</v>
      </c>
      <c r="H183" s="14">
        <v>41.049501999999997</v>
      </c>
      <c r="I183" s="14">
        <v>3.3334600000000001</v>
      </c>
      <c r="J183" s="22">
        <v>0.78999999999998005</v>
      </c>
      <c r="K183" s="34" t="str">
        <f t="shared" si="8"/>
        <v>01/YD</v>
      </c>
      <c r="L183" s="34" t="str">
        <f t="shared" si="9"/>
        <v>Y</v>
      </c>
      <c r="M183" s="34" t="str">
        <f t="shared" si="10"/>
        <v>D</v>
      </c>
      <c r="N183" s="44">
        <f t="shared" si="11"/>
        <v>181</v>
      </c>
    </row>
    <row r="184" spans="1:14" x14ac:dyDescent="0.25">
      <c r="A184" s="44">
        <v>182</v>
      </c>
      <c r="B184" s="4">
        <v>1.8385</v>
      </c>
      <c r="C184" s="14">
        <v>47.534948</v>
      </c>
      <c r="D184" s="14">
        <v>49.703558000000001</v>
      </c>
      <c r="E184" s="14">
        <v>181.49074200000001</v>
      </c>
      <c r="F184" s="14">
        <v>154.303087</v>
      </c>
      <c r="G184" s="14">
        <v>41.079061000000003</v>
      </c>
      <c r="H184" s="14">
        <v>41.111075999999997</v>
      </c>
      <c r="I184" s="14">
        <v>3.341126</v>
      </c>
      <c r="J184" s="22">
        <v>0.68999999999999095</v>
      </c>
      <c r="K184" s="34" t="str">
        <f t="shared" si="8"/>
        <v>02/YD</v>
      </c>
      <c r="L184" s="34" t="str">
        <f t="shared" si="9"/>
        <v>Y</v>
      </c>
      <c r="M184" s="34" t="str">
        <f t="shared" si="10"/>
        <v>D</v>
      </c>
      <c r="N184" s="44">
        <f t="shared" si="11"/>
        <v>182</v>
      </c>
    </row>
    <row r="185" spans="1:14" x14ac:dyDescent="0.25">
      <c r="A185" s="44">
        <v>183</v>
      </c>
      <c r="B185" s="4">
        <v>1.8087</v>
      </c>
      <c r="C185" s="14">
        <v>47.611002999999997</v>
      </c>
      <c r="D185" s="14">
        <v>49.912312</v>
      </c>
      <c r="E185" s="14">
        <v>181.762978</v>
      </c>
      <c r="F185" s="14">
        <v>154.68884399999999</v>
      </c>
      <c r="G185" s="14">
        <v>41.144787000000001</v>
      </c>
      <c r="H185" s="14">
        <v>41.209741999999999</v>
      </c>
      <c r="I185" s="14">
        <v>3.3474740000000001</v>
      </c>
      <c r="J185" s="22">
        <v>0.69000000000003503</v>
      </c>
      <c r="K185" s="34" t="str">
        <f t="shared" si="8"/>
        <v>03/YD</v>
      </c>
      <c r="L185" s="34" t="str">
        <f t="shared" si="9"/>
        <v>Y</v>
      </c>
      <c r="M185" s="34" t="str">
        <f t="shared" si="10"/>
        <v>D</v>
      </c>
      <c r="N185" s="44">
        <f t="shared" si="11"/>
        <v>183</v>
      </c>
    </row>
    <row r="186" spans="1:14" x14ac:dyDescent="0.25">
      <c r="A186" s="44">
        <v>184</v>
      </c>
      <c r="B186" s="4">
        <v>1.7037</v>
      </c>
      <c r="C186" s="14">
        <v>47.730029999999999</v>
      </c>
      <c r="D186" s="14">
        <v>49.937268000000003</v>
      </c>
      <c r="E186" s="14">
        <v>181.87203500000001</v>
      </c>
      <c r="F186" s="14">
        <v>154.62696800000001</v>
      </c>
      <c r="G186" s="14">
        <v>41.243533999999997</v>
      </c>
      <c r="H186" s="14">
        <v>41.325128999999997</v>
      </c>
      <c r="I186" s="14">
        <v>3.3534989999999998</v>
      </c>
      <c r="J186" s="22">
        <v>0.68999999999999095</v>
      </c>
      <c r="K186" s="34" t="str">
        <f t="shared" si="8"/>
        <v>04/YD</v>
      </c>
      <c r="L186" s="34" t="str">
        <f t="shared" si="9"/>
        <v>Y</v>
      </c>
      <c r="M186" s="34" t="str">
        <f t="shared" si="10"/>
        <v>D</v>
      </c>
      <c r="N186" s="44">
        <f t="shared" si="11"/>
        <v>184</v>
      </c>
    </row>
    <row r="187" spans="1:14" x14ac:dyDescent="0.25">
      <c r="A187" s="44">
        <v>185</v>
      </c>
      <c r="B187" s="4">
        <v>1.7290000000000001</v>
      </c>
      <c r="C187" s="14">
        <v>47.868447000000003</v>
      </c>
      <c r="D187" s="14">
        <v>49.987205000000003</v>
      </c>
      <c r="E187" s="14">
        <v>182.399463</v>
      </c>
      <c r="F187" s="14">
        <v>154.73520600000001</v>
      </c>
      <c r="G187" s="14">
        <v>41.396135000000001</v>
      </c>
      <c r="H187" s="14">
        <v>41.494562000000002</v>
      </c>
      <c r="I187" s="14">
        <v>3.3682539999999999</v>
      </c>
      <c r="J187" s="22">
        <v>0.66000000000001602</v>
      </c>
      <c r="K187" s="34" t="str">
        <f t="shared" si="8"/>
        <v>05/YD</v>
      </c>
      <c r="L187" s="34" t="str">
        <f t="shared" si="9"/>
        <v>Y</v>
      </c>
      <c r="M187" s="34" t="str">
        <f t="shared" si="10"/>
        <v>D</v>
      </c>
      <c r="N187" s="44">
        <f t="shared" si="11"/>
        <v>185</v>
      </c>
    </row>
    <row r="188" spans="1:14" x14ac:dyDescent="0.25">
      <c r="A188" s="44">
        <v>186</v>
      </c>
      <c r="B188" s="4">
        <v>1.7557</v>
      </c>
      <c r="C188" s="14">
        <v>47.954610000000002</v>
      </c>
      <c r="D188" s="14">
        <v>49.857238000000002</v>
      </c>
      <c r="E188" s="14">
        <v>182.581862</v>
      </c>
      <c r="F188" s="14">
        <v>154.56499700000001</v>
      </c>
      <c r="G188" s="14">
        <v>41.495485000000002</v>
      </c>
      <c r="H188" s="14">
        <v>41.648091000000001</v>
      </c>
      <c r="I188" s="14">
        <v>3.3810530000000001</v>
      </c>
      <c r="J188" s="22">
        <v>0.72999999999998599</v>
      </c>
      <c r="K188" s="34" t="str">
        <f t="shared" si="8"/>
        <v>06/YD</v>
      </c>
      <c r="L188" s="34" t="str">
        <f t="shared" si="9"/>
        <v>Y</v>
      </c>
      <c r="M188" s="34" t="str">
        <f t="shared" si="10"/>
        <v>D</v>
      </c>
      <c r="N188" s="44">
        <f t="shared" si="11"/>
        <v>186</v>
      </c>
    </row>
    <row r="189" spans="1:14" x14ac:dyDescent="0.25">
      <c r="A189" s="44">
        <v>187</v>
      </c>
      <c r="B189" s="4">
        <v>1.7710999999999999</v>
      </c>
      <c r="C189" s="14">
        <v>48.597200999999998</v>
      </c>
      <c r="D189" s="14">
        <v>50.171337999999999</v>
      </c>
      <c r="E189" s="14">
        <v>183.75038499999999</v>
      </c>
      <c r="F189" s="14">
        <v>156.126103</v>
      </c>
      <c r="G189" s="14">
        <v>41.860644999999998</v>
      </c>
      <c r="H189" s="14">
        <v>41.960450999999999</v>
      </c>
      <c r="I189" s="14">
        <v>3.3986339999999999</v>
      </c>
      <c r="J189" s="22">
        <v>0.65999999999997205</v>
      </c>
      <c r="K189" s="34" t="str">
        <f t="shared" si="8"/>
        <v>07/YD</v>
      </c>
      <c r="L189" s="34" t="str">
        <f t="shared" si="9"/>
        <v>Y</v>
      </c>
      <c r="M189" s="34" t="str">
        <f t="shared" si="10"/>
        <v>D</v>
      </c>
      <c r="N189" s="44">
        <f t="shared" si="11"/>
        <v>187</v>
      </c>
    </row>
    <row r="190" spans="1:14" x14ac:dyDescent="0.25">
      <c r="A190" s="44">
        <v>188</v>
      </c>
      <c r="B190" s="4">
        <v>1.867</v>
      </c>
      <c r="C190" s="14">
        <v>48.95682</v>
      </c>
      <c r="D190" s="14">
        <v>50.763359000000001</v>
      </c>
      <c r="E190" s="14">
        <v>184.41188600000001</v>
      </c>
      <c r="F190" s="14">
        <v>157.827877</v>
      </c>
      <c r="G190" s="14">
        <v>42.153669000000001</v>
      </c>
      <c r="H190" s="14">
        <v>42.287742000000001</v>
      </c>
      <c r="I190" s="14">
        <v>3.4305810000000001</v>
      </c>
      <c r="J190" s="22">
        <v>0.59000000000000197</v>
      </c>
      <c r="K190" s="34" t="str">
        <f t="shared" si="8"/>
        <v>08/YD</v>
      </c>
      <c r="L190" s="34" t="str">
        <f t="shared" si="9"/>
        <v>Y</v>
      </c>
      <c r="M190" s="34" t="str">
        <f t="shared" si="10"/>
        <v>D</v>
      </c>
      <c r="N190" s="44">
        <f t="shared" si="11"/>
        <v>188</v>
      </c>
    </row>
    <row r="191" spans="1:14" x14ac:dyDescent="0.25">
      <c r="A191" s="44">
        <v>189</v>
      </c>
      <c r="B191" s="4">
        <v>1.7644</v>
      </c>
      <c r="C191" s="14">
        <v>49.123272999999998</v>
      </c>
      <c r="D191" s="14">
        <v>51.240533999999997</v>
      </c>
      <c r="E191" s="14">
        <v>185.79497499999999</v>
      </c>
      <c r="F191" s="14">
        <v>158.822192</v>
      </c>
      <c r="G191" s="14">
        <v>42.452959999999997</v>
      </c>
      <c r="H191" s="14">
        <v>42.507638</v>
      </c>
      <c r="I191" s="14">
        <v>3.449449</v>
      </c>
      <c r="J191" s="22">
        <v>0.760000000000005</v>
      </c>
      <c r="K191" s="34" t="str">
        <f t="shared" si="8"/>
        <v>09/YD</v>
      </c>
      <c r="L191" s="34" t="str">
        <f t="shared" si="9"/>
        <v>Y</v>
      </c>
      <c r="M191" s="34" t="str">
        <f t="shared" si="10"/>
        <v>D</v>
      </c>
      <c r="N191" s="44">
        <f t="shared" si="11"/>
        <v>189</v>
      </c>
    </row>
    <row r="192" spans="1:14" x14ac:dyDescent="0.25">
      <c r="A192" s="44">
        <v>190</v>
      </c>
      <c r="B192" s="4">
        <v>1.7483</v>
      </c>
      <c r="C192" s="14">
        <v>49.314852999999999</v>
      </c>
      <c r="D192" s="14">
        <v>51.635086000000001</v>
      </c>
      <c r="E192" s="14">
        <v>187.35565199999999</v>
      </c>
      <c r="F192" s="14">
        <v>159.965711</v>
      </c>
      <c r="G192" s="14">
        <v>42.762866000000002</v>
      </c>
      <c r="H192" s="14">
        <v>42.749930999999997</v>
      </c>
      <c r="I192" s="14">
        <v>3.4660060000000001</v>
      </c>
      <c r="J192" s="22">
        <v>0.67000000000003701</v>
      </c>
      <c r="K192" s="34" t="str">
        <f t="shared" si="8"/>
        <v>10/YD</v>
      </c>
      <c r="L192" s="34" t="str">
        <f t="shared" si="9"/>
        <v>Y</v>
      </c>
      <c r="M192" s="34" t="str">
        <f t="shared" si="10"/>
        <v>D</v>
      </c>
      <c r="N192" s="44">
        <f t="shared" si="11"/>
        <v>190</v>
      </c>
    </row>
    <row r="193" spans="1:14" x14ac:dyDescent="0.25">
      <c r="A193" s="44">
        <v>191</v>
      </c>
      <c r="B193" s="4">
        <v>1.7967</v>
      </c>
      <c r="C193" s="14">
        <v>49.423344999999998</v>
      </c>
      <c r="D193" s="14">
        <v>52.249543000000003</v>
      </c>
      <c r="E193" s="14">
        <v>190.74678900000001</v>
      </c>
      <c r="F193" s="14">
        <v>162.477172</v>
      </c>
      <c r="G193" s="14">
        <v>42.946745999999997</v>
      </c>
      <c r="H193" s="14">
        <v>42.933754999999998</v>
      </c>
      <c r="I193" s="14">
        <v>3.487841</v>
      </c>
      <c r="J193" s="22">
        <v>0.74999999999998401</v>
      </c>
      <c r="K193" s="34" t="str">
        <f t="shared" si="8"/>
        <v>11/YD</v>
      </c>
      <c r="L193" s="34" t="str">
        <f t="shared" si="9"/>
        <v>Y</v>
      </c>
      <c r="M193" s="34" t="str">
        <f t="shared" si="10"/>
        <v>D</v>
      </c>
      <c r="N193" s="44">
        <f t="shared" si="11"/>
        <v>191</v>
      </c>
    </row>
    <row r="194" spans="1:14" x14ac:dyDescent="0.25">
      <c r="A194" s="44">
        <v>192</v>
      </c>
      <c r="B194" s="4">
        <v>1.7970999999999999</v>
      </c>
      <c r="C194" s="14">
        <v>49.443114000000001</v>
      </c>
      <c r="D194" s="14">
        <v>52.693663999999998</v>
      </c>
      <c r="E194" s="14">
        <v>192.825929</v>
      </c>
      <c r="F194" s="14">
        <v>163.029594</v>
      </c>
      <c r="G194" s="14">
        <v>42.899504</v>
      </c>
      <c r="H194" s="14">
        <v>42.933754999999998</v>
      </c>
      <c r="I194" s="14">
        <v>3.4944670000000002</v>
      </c>
      <c r="J194" s="22">
        <v>0.78999999999998005</v>
      </c>
      <c r="K194" s="34" t="str">
        <f t="shared" si="8"/>
        <v>012/YF</v>
      </c>
      <c r="L194" s="34" t="str">
        <f t="shared" si="9"/>
        <v>Y</v>
      </c>
      <c r="M194" s="34" t="str">
        <f t="shared" si="10"/>
        <v>F</v>
      </c>
      <c r="N194" s="44">
        <f t="shared" si="11"/>
        <v>192</v>
      </c>
    </row>
    <row r="195" spans="1:14" x14ac:dyDescent="0.25">
      <c r="A195" s="44">
        <v>193</v>
      </c>
      <c r="B195" s="4">
        <v>1.7689999999999999</v>
      </c>
      <c r="C195" s="14">
        <v>49.527166999999999</v>
      </c>
      <c r="D195" s="14">
        <v>52.772703999999997</v>
      </c>
      <c r="E195" s="14">
        <v>193.674363</v>
      </c>
      <c r="F195" s="14">
        <v>163.38825900000001</v>
      </c>
      <c r="G195" s="14">
        <v>42.869473999999997</v>
      </c>
      <c r="H195" s="14">
        <v>42.938048000000002</v>
      </c>
      <c r="I195" s="14">
        <v>3.4913210000000001</v>
      </c>
      <c r="J195" s="22">
        <v>0.85999999999999399</v>
      </c>
      <c r="K195" s="34" t="str">
        <f t="shared" si="8"/>
        <v>01/YF</v>
      </c>
      <c r="L195" s="34" t="str">
        <f t="shared" si="9"/>
        <v>Y</v>
      </c>
      <c r="M195" s="34" t="str">
        <f t="shared" si="10"/>
        <v>F</v>
      </c>
      <c r="N195" s="44">
        <f t="shared" si="11"/>
        <v>193</v>
      </c>
    </row>
    <row r="196" spans="1:14" x14ac:dyDescent="0.25">
      <c r="A196" s="44">
        <v>194</v>
      </c>
      <c r="B196" s="4">
        <v>1.7716000000000001</v>
      </c>
      <c r="C196" s="14">
        <v>49.611362999999997</v>
      </c>
      <c r="D196" s="14">
        <v>53.179053000000003</v>
      </c>
      <c r="E196" s="14">
        <v>193.94550699999999</v>
      </c>
      <c r="F196" s="14">
        <v>165.185529</v>
      </c>
      <c r="G196" s="14">
        <v>42.839464999999997</v>
      </c>
      <c r="H196" s="14">
        <v>42.955222999999997</v>
      </c>
      <c r="I196" s="14">
        <v>3.4895749999999999</v>
      </c>
      <c r="J196" s="22">
        <v>0.890000000000013</v>
      </c>
      <c r="K196" s="34" t="str">
        <f t="shared" ref="K196:K259" si="12">CONCATENATE(IF(AND((A196/12-ROUNDDOWN(A196/12,0))*12&lt;10,A196&lt;&gt;12),"0",""),IF((A196/12-ROUNDDOWN(A196/12,0))*12=0,12,ROUND((A196/12-ROUNDDOWN(A196/12,0))*12,0)),"/",L196,M196)</f>
        <v>02/YF</v>
      </c>
      <c r="L196" s="34" t="str">
        <f t="shared" ref="L196:L259" si="13">VLOOKUP(ROUNDDOWN(A196/120,0),$O$3:$P$12,2,FALSE)</f>
        <v>Y</v>
      </c>
      <c r="M196" s="34" t="str">
        <f t="shared" ref="M196:M259" si="14">VLOOKUP(ROUNDDOWN(A196/12,0)-ROUNDDOWN(A196/120,0)*10,$O$3:$P$12,2,FALSE)</f>
        <v>F</v>
      </c>
      <c r="N196" s="44">
        <f t="shared" ref="N196:N259" si="15">A196</f>
        <v>194</v>
      </c>
    </row>
    <row r="197" spans="1:14" x14ac:dyDescent="0.25">
      <c r="A197" s="44">
        <v>195</v>
      </c>
      <c r="B197" s="4">
        <v>1.7169000000000001</v>
      </c>
      <c r="C197" s="14">
        <v>49.874302999999998</v>
      </c>
      <c r="D197" s="14">
        <v>53.790612000000003</v>
      </c>
      <c r="E197" s="14">
        <v>194.35279199999999</v>
      </c>
      <c r="F197" s="14">
        <v>167.00256899999999</v>
      </c>
      <c r="G197" s="14">
        <v>43.070798000000003</v>
      </c>
      <c r="H197" s="14">
        <v>43.148521000000002</v>
      </c>
      <c r="I197" s="14">
        <v>3.5003920000000002</v>
      </c>
      <c r="J197" s="22">
        <v>0.85000000000001696</v>
      </c>
      <c r="K197" s="34" t="str">
        <f t="shared" si="12"/>
        <v>03/YF</v>
      </c>
      <c r="L197" s="34" t="str">
        <f t="shared" si="13"/>
        <v>Y</v>
      </c>
      <c r="M197" s="34" t="str">
        <f t="shared" si="14"/>
        <v>F</v>
      </c>
      <c r="N197" s="44">
        <f t="shared" si="15"/>
        <v>195</v>
      </c>
    </row>
    <row r="198" spans="1:14" x14ac:dyDescent="0.25">
      <c r="A198" s="44">
        <v>196</v>
      </c>
      <c r="B198" s="4">
        <v>1.6604000000000001</v>
      </c>
      <c r="C198" s="14">
        <v>50.392994999999999</v>
      </c>
      <c r="D198" s="14">
        <v>54.333897</v>
      </c>
      <c r="E198" s="14">
        <v>194.74149700000001</v>
      </c>
      <c r="F198" s="14">
        <v>168.72269499999999</v>
      </c>
      <c r="G198" s="14">
        <v>43.467049000000003</v>
      </c>
      <c r="H198" s="14">
        <v>43.472133999999997</v>
      </c>
      <c r="I198" s="14">
        <v>3.5220940000000001</v>
      </c>
      <c r="J198" s="22">
        <v>0.80999999999997696</v>
      </c>
      <c r="K198" s="34" t="str">
        <f t="shared" si="12"/>
        <v>04/YF</v>
      </c>
      <c r="L198" s="34" t="str">
        <f t="shared" si="13"/>
        <v>Y</v>
      </c>
      <c r="M198" s="34" t="str">
        <f t="shared" si="14"/>
        <v>F</v>
      </c>
      <c r="N198" s="44">
        <f t="shared" si="15"/>
        <v>196</v>
      </c>
    </row>
    <row r="199" spans="1:14" x14ac:dyDescent="0.25">
      <c r="A199" s="44">
        <v>197</v>
      </c>
      <c r="B199" s="4">
        <v>1.7198</v>
      </c>
      <c r="C199" s="14">
        <v>50.755823999999997</v>
      </c>
      <c r="D199" s="14">
        <v>55.121738000000001</v>
      </c>
      <c r="E199" s="14">
        <v>195.46204</v>
      </c>
      <c r="F199" s="14">
        <v>171.38851299999999</v>
      </c>
      <c r="G199" s="14">
        <v>43.914758999999997</v>
      </c>
      <c r="H199" s="14">
        <v>43.832951999999999</v>
      </c>
      <c r="I199" s="14">
        <v>3.552384</v>
      </c>
      <c r="J199" s="22">
        <v>0.81000000000002204</v>
      </c>
      <c r="K199" s="34" t="str">
        <f t="shared" si="12"/>
        <v>05/YF</v>
      </c>
      <c r="L199" s="34" t="str">
        <f t="shared" si="13"/>
        <v>Y</v>
      </c>
      <c r="M199" s="34" t="str">
        <f t="shared" si="14"/>
        <v>F</v>
      </c>
      <c r="N199" s="44">
        <f t="shared" si="15"/>
        <v>197</v>
      </c>
    </row>
    <row r="200" spans="1:14" x14ac:dyDescent="0.25">
      <c r="A200" s="44">
        <v>198</v>
      </c>
      <c r="B200" s="4">
        <v>1.6988000000000001</v>
      </c>
      <c r="C200" s="14">
        <v>51.029904999999999</v>
      </c>
      <c r="D200" s="14">
        <v>55.502077</v>
      </c>
      <c r="E200" s="14">
        <v>196.771635</v>
      </c>
      <c r="F200" s="14">
        <v>172.03978900000001</v>
      </c>
      <c r="G200" s="14">
        <v>44.178246999999999</v>
      </c>
      <c r="H200" s="14">
        <v>44.109099000000001</v>
      </c>
      <c r="I200" s="14">
        <v>3.5768949999999999</v>
      </c>
      <c r="J200" s="22">
        <v>0.93000000000000904</v>
      </c>
      <c r="K200" s="34" t="str">
        <f t="shared" si="12"/>
        <v>06/YF</v>
      </c>
      <c r="L200" s="34" t="str">
        <f t="shared" si="13"/>
        <v>Y</v>
      </c>
      <c r="M200" s="34" t="str">
        <f t="shared" si="14"/>
        <v>F</v>
      </c>
      <c r="N200" s="44">
        <f t="shared" si="15"/>
        <v>198</v>
      </c>
    </row>
    <row r="201" spans="1:14" x14ac:dyDescent="0.25">
      <c r="A201" s="44">
        <v>199</v>
      </c>
      <c r="B201" s="4">
        <v>1.6842999999999999</v>
      </c>
      <c r="C201" s="14">
        <v>51.616748000000001</v>
      </c>
      <c r="D201" s="14">
        <v>55.940542999999998</v>
      </c>
      <c r="E201" s="14">
        <v>197.57839799999999</v>
      </c>
      <c r="F201" s="14">
        <v>173.72577799999999</v>
      </c>
      <c r="G201" s="14">
        <v>44.593522</v>
      </c>
      <c r="H201" s="14">
        <v>44.475203999999998</v>
      </c>
      <c r="I201" s="14">
        <v>3.604079</v>
      </c>
      <c r="J201" s="22">
        <v>0.85999999999999399</v>
      </c>
      <c r="K201" s="34" t="str">
        <f t="shared" si="12"/>
        <v>07/YF</v>
      </c>
      <c r="L201" s="34" t="str">
        <f t="shared" si="13"/>
        <v>Y</v>
      </c>
      <c r="M201" s="34" t="str">
        <f t="shared" si="14"/>
        <v>F</v>
      </c>
      <c r="N201" s="44">
        <f t="shared" si="15"/>
        <v>199</v>
      </c>
    </row>
    <row r="202" spans="1:14" x14ac:dyDescent="0.25">
      <c r="A202" s="44">
        <v>200</v>
      </c>
      <c r="B202" s="4">
        <v>1.6681999999999999</v>
      </c>
      <c r="C202" s="14">
        <v>51.926448000000001</v>
      </c>
      <c r="D202" s="14">
        <v>56.499948000000003</v>
      </c>
      <c r="E202" s="14">
        <v>198.13161700000001</v>
      </c>
      <c r="F202" s="14">
        <v>175.39354499999999</v>
      </c>
      <c r="G202" s="14">
        <v>44.834327000000002</v>
      </c>
      <c r="H202" s="14">
        <v>44.831004999999998</v>
      </c>
      <c r="I202" s="14">
        <v>3.6390380000000002</v>
      </c>
      <c r="J202" s="22">
        <v>0.83999999999999597</v>
      </c>
      <c r="K202" s="34" t="str">
        <f t="shared" si="12"/>
        <v>08/YF</v>
      </c>
      <c r="L202" s="34" t="str">
        <f t="shared" si="13"/>
        <v>Y</v>
      </c>
      <c r="M202" s="34" t="str">
        <f t="shared" si="14"/>
        <v>F</v>
      </c>
      <c r="N202" s="44">
        <f t="shared" si="15"/>
        <v>200</v>
      </c>
    </row>
    <row r="203" spans="1:14" x14ac:dyDescent="0.25">
      <c r="A203" s="44">
        <v>201</v>
      </c>
      <c r="B203" s="4">
        <v>1.6692</v>
      </c>
      <c r="C203" s="14">
        <v>52.10819</v>
      </c>
      <c r="D203" s="14">
        <v>56.850247000000003</v>
      </c>
      <c r="E203" s="14">
        <v>198.98358200000001</v>
      </c>
      <c r="F203" s="14">
        <v>176.46344500000001</v>
      </c>
      <c r="G203" s="14">
        <v>45.130232999999997</v>
      </c>
      <c r="H203" s="14">
        <v>45.185169000000002</v>
      </c>
      <c r="I203" s="14">
        <v>3.6608719999999999</v>
      </c>
      <c r="J203" s="22">
        <v>0.91999999999998705</v>
      </c>
      <c r="K203" s="34" t="str">
        <f t="shared" si="12"/>
        <v>09/YF</v>
      </c>
      <c r="L203" s="34" t="str">
        <f t="shared" si="13"/>
        <v>Y</v>
      </c>
      <c r="M203" s="34" t="str">
        <f t="shared" si="14"/>
        <v>F</v>
      </c>
      <c r="N203" s="44">
        <f t="shared" si="15"/>
        <v>201</v>
      </c>
    </row>
    <row r="204" spans="1:14" x14ac:dyDescent="0.25">
      <c r="A204" s="44">
        <v>202</v>
      </c>
      <c r="B204" s="4">
        <v>1.5775999999999999</v>
      </c>
      <c r="C204" s="14">
        <v>52.472946999999998</v>
      </c>
      <c r="D204" s="14">
        <v>57.106073000000002</v>
      </c>
      <c r="E204" s="14">
        <v>201.09280699999999</v>
      </c>
      <c r="F204" s="14">
        <v>177.34576200000001</v>
      </c>
      <c r="G204" s="14">
        <v>45.455170000000003</v>
      </c>
      <c r="H204" s="14">
        <v>45.533093999999998</v>
      </c>
      <c r="I204" s="14">
        <v>3.68906</v>
      </c>
      <c r="J204" s="22">
        <v>0.83999999999999597</v>
      </c>
      <c r="K204" s="34" t="str">
        <f t="shared" si="12"/>
        <v>010/YF</v>
      </c>
      <c r="L204" s="34" t="str">
        <f t="shared" si="13"/>
        <v>Y</v>
      </c>
      <c r="M204" s="34" t="str">
        <f t="shared" si="14"/>
        <v>F</v>
      </c>
      <c r="N204" s="44">
        <f t="shared" si="15"/>
        <v>202</v>
      </c>
    </row>
    <row r="205" spans="1:14" x14ac:dyDescent="0.25">
      <c r="A205" s="44">
        <v>203</v>
      </c>
      <c r="B205" s="4">
        <v>1.6328</v>
      </c>
      <c r="C205" s="14">
        <v>52.635612999999999</v>
      </c>
      <c r="D205" s="14">
        <v>57.351629000000003</v>
      </c>
      <c r="E205" s="14">
        <v>207.00493499999999</v>
      </c>
      <c r="F205" s="14">
        <v>177.363496</v>
      </c>
      <c r="G205" s="14">
        <v>45.714264</v>
      </c>
      <c r="H205" s="14">
        <v>45.747098999999999</v>
      </c>
      <c r="I205" s="14">
        <v>3.7148829999999999</v>
      </c>
      <c r="J205" s="22">
        <v>0.99000000000000199</v>
      </c>
      <c r="K205" s="34" t="str">
        <f t="shared" si="12"/>
        <v>11/YF</v>
      </c>
      <c r="L205" s="34" t="str">
        <f t="shared" si="13"/>
        <v>Y</v>
      </c>
      <c r="M205" s="34" t="str">
        <f t="shared" si="14"/>
        <v>F</v>
      </c>
      <c r="N205" s="44">
        <f t="shared" si="15"/>
        <v>203</v>
      </c>
    </row>
    <row r="206" spans="1:14" x14ac:dyDescent="0.25">
      <c r="A206" s="44">
        <v>204</v>
      </c>
      <c r="B206" s="4">
        <v>1.5960000000000001</v>
      </c>
      <c r="C206" s="14">
        <v>52.640875999999999</v>
      </c>
      <c r="D206" s="14">
        <v>57.248396</v>
      </c>
      <c r="E206" s="14">
        <v>207.77085299999999</v>
      </c>
      <c r="F206" s="14">
        <v>177.13292300000001</v>
      </c>
      <c r="G206" s="14">
        <v>45.814835000000002</v>
      </c>
      <c r="H206" s="14">
        <v>45.815719000000001</v>
      </c>
      <c r="I206" s="14">
        <v>3.723427</v>
      </c>
      <c r="J206" s="22">
        <v>0.96000000000002705</v>
      </c>
      <c r="K206" s="34" t="str">
        <f t="shared" si="12"/>
        <v>012/YQ</v>
      </c>
      <c r="L206" s="34" t="str">
        <f t="shared" si="13"/>
        <v>Y</v>
      </c>
      <c r="M206" s="34" t="str">
        <f t="shared" si="14"/>
        <v>Q</v>
      </c>
      <c r="N206" s="44">
        <f t="shared" si="15"/>
        <v>204</v>
      </c>
    </row>
    <row r="207" spans="1:14" x14ac:dyDescent="0.25">
      <c r="A207" s="44">
        <v>205</v>
      </c>
      <c r="B207" s="4">
        <v>1.5743</v>
      </c>
      <c r="C207" s="14">
        <v>52.798797999999998</v>
      </c>
      <c r="D207" s="14">
        <v>57.179696999999997</v>
      </c>
      <c r="E207" s="14">
        <v>208.70582099999999</v>
      </c>
      <c r="F207" s="14">
        <v>177.04435599999999</v>
      </c>
      <c r="G207" s="14">
        <v>45.814835000000002</v>
      </c>
      <c r="H207" s="14">
        <v>45.889023999999999</v>
      </c>
      <c r="I207" s="14">
        <v>3.72715</v>
      </c>
      <c r="J207" s="22">
        <v>0.96999999999996001</v>
      </c>
      <c r="K207" s="34" t="str">
        <f t="shared" si="12"/>
        <v>01/YQ</v>
      </c>
      <c r="L207" s="34" t="str">
        <f t="shared" si="13"/>
        <v>Y</v>
      </c>
      <c r="M207" s="34" t="str">
        <f t="shared" si="14"/>
        <v>Q</v>
      </c>
      <c r="N207" s="44">
        <f t="shared" si="15"/>
        <v>205</v>
      </c>
    </row>
    <row r="208" spans="1:14" x14ac:dyDescent="0.25">
      <c r="A208" s="44">
        <v>206</v>
      </c>
      <c r="B208" s="4">
        <v>1.5955999999999999</v>
      </c>
      <c r="C208" s="14">
        <v>53.004713000000002</v>
      </c>
      <c r="D208" s="14">
        <v>57.431286999999998</v>
      </c>
      <c r="E208" s="14">
        <v>208.977138</v>
      </c>
      <c r="F208" s="14">
        <v>178.124326</v>
      </c>
      <c r="G208" s="14">
        <v>46.007257000000003</v>
      </c>
      <c r="H208" s="14">
        <v>46.058813000000001</v>
      </c>
      <c r="I208" s="14">
        <v>3.7372130000000001</v>
      </c>
      <c r="J208" s="22">
        <v>1.07000000000004</v>
      </c>
      <c r="K208" s="34" t="str">
        <f t="shared" si="12"/>
        <v>02/YQ</v>
      </c>
      <c r="L208" s="34" t="str">
        <f t="shared" si="13"/>
        <v>Y</v>
      </c>
      <c r="M208" s="34" t="str">
        <f t="shared" si="14"/>
        <v>Q</v>
      </c>
      <c r="N208" s="44">
        <f t="shared" si="15"/>
        <v>206</v>
      </c>
    </row>
    <row r="209" spans="1:14" x14ac:dyDescent="0.25">
      <c r="A209" s="44">
        <v>207</v>
      </c>
      <c r="B209" s="4">
        <v>1.7105999999999999</v>
      </c>
      <c r="C209" s="14">
        <v>53.137224000000003</v>
      </c>
      <c r="D209" s="14">
        <v>57.804589999999997</v>
      </c>
      <c r="E209" s="14">
        <v>209.26970499999999</v>
      </c>
      <c r="F209" s="14">
        <v>179.46025800000001</v>
      </c>
      <c r="G209" s="14">
        <v>46.214289000000001</v>
      </c>
      <c r="H209" s="14">
        <v>46.302923999999997</v>
      </c>
      <c r="I209" s="14">
        <v>3.7570199999999998</v>
      </c>
      <c r="J209" s="22">
        <v>0.93999999999998496</v>
      </c>
      <c r="K209" s="34" t="str">
        <f t="shared" si="12"/>
        <v>03/YQ</v>
      </c>
      <c r="L209" s="34" t="str">
        <f t="shared" si="13"/>
        <v>Y</v>
      </c>
      <c r="M209" s="34" t="str">
        <f t="shared" si="14"/>
        <v>Q</v>
      </c>
      <c r="N209" s="44">
        <f t="shared" si="15"/>
        <v>207</v>
      </c>
    </row>
    <row r="210" spans="1:14" x14ac:dyDescent="0.25">
      <c r="A210" s="44">
        <v>208</v>
      </c>
      <c r="B210" s="4">
        <v>1.7376</v>
      </c>
      <c r="C210" s="14">
        <v>53.344459000000001</v>
      </c>
      <c r="D210" s="14">
        <v>58.110954</v>
      </c>
      <c r="E210" s="14">
        <v>209.751025</v>
      </c>
      <c r="F210" s="14">
        <v>180.178099</v>
      </c>
      <c r="G210" s="14">
        <v>46.362174000000003</v>
      </c>
      <c r="H210" s="14">
        <v>46.502026000000001</v>
      </c>
      <c r="I210" s="14">
        <v>3.772799</v>
      </c>
      <c r="J210" s="22">
        <v>0.87999999999999201</v>
      </c>
      <c r="K210" s="34" t="str">
        <f t="shared" si="12"/>
        <v>04/YQ</v>
      </c>
      <c r="L210" s="34" t="str">
        <f t="shared" si="13"/>
        <v>Y</v>
      </c>
      <c r="M210" s="34" t="str">
        <f t="shared" si="14"/>
        <v>Q</v>
      </c>
      <c r="N210" s="44">
        <f t="shared" si="15"/>
        <v>208</v>
      </c>
    </row>
    <row r="211" spans="1:14" x14ac:dyDescent="0.25">
      <c r="A211" s="44">
        <v>209</v>
      </c>
      <c r="B211" s="4">
        <v>1.7648999999999999</v>
      </c>
      <c r="C211" s="14">
        <v>53.664524999999998</v>
      </c>
      <c r="D211" s="14">
        <v>58.401508</v>
      </c>
      <c r="E211" s="14">
        <v>211.26123200000001</v>
      </c>
      <c r="F211" s="14">
        <v>180.95286400000001</v>
      </c>
      <c r="G211" s="14">
        <v>46.626438</v>
      </c>
      <c r="H211" s="14">
        <v>46.743836000000002</v>
      </c>
      <c r="I211" s="14">
        <v>3.7901530000000001</v>
      </c>
      <c r="J211" s="22">
        <v>0.85999999999999399</v>
      </c>
      <c r="K211" s="34" t="str">
        <f t="shared" si="12"/>
        <v>05/YQ</v>
      </c>
      <c r="L211" s="34" t="str">
        <f t="shared" si="13"/>
        <v>Y</v>
      </c>
      <c r="M211" s="34" t="str">
        <f t="shared" si="14"/>
        <v>Q</v>
      </c>
      <c r="N211" s="44">
        <f t="shared" si="15"/>
        <v>209</v>
      </c>
    </row>
    <row r="212" spans="1:14" x14ac:dyDescent="0.25">
      <c r="A212" s="44">
        <v>210</v>
      </c>
      <c r="B212" s="4">
        <v>1.8609</v>
      </c>
      <c r="C212" s="14">
        <v>53.991878</v>
      </c>
      <c r="D212" s="14">
        <v>58.331426</v>
      </c>
      <c r="E212" s="14">
        <v>211.493619</v>
      </c>
      <c r="F212" s="14">
        <v>180.66333900000001</v>
      </c>
      <c r="G212" s="14">
        <v>46.864232000000001</v>
      </c>
      <c r="H212" s="14">
        <v>46.977555000000002</v>
      </c>
      <c r="I212" s="14">
        <v>3.8113769999999998</v>
      </c>
      <c r="J212" s="22">
        <v>0.91000000000001102</v>
      </c>
      <c r="K212" s="34" t="str">
        <f t="shared" si="12"/>
        <v>06/YQ</v>
      </c>
      <c r="L212" s="34" t="str">
        <f t="shared" si="13"/>
        <v>Y</v>
      </c>
      <c r="M212" s="34" t="str">
        <f t="shared" si="14"/>
        <v>Q</v>
      </c>
      <c r="N212" s="44">
        <f t="shared" si="15"/>
        <v>210</v>
      </c>
    </row>
    <row r="213" spans="1:14" x14ac:dyDescent="0.25">
      <c r="A213" s="44">
        <v>211</v>
      </c>
      <c r="B213" s="4">
        <v>1.7853000000000001</v>
      </c>
      <c r="C213" s="14">
        <v>54.348224000000002</v>
      </c>
      <c r="D213" s="14">
        <v>58.477254000000002</v>
      </c>
      <c r="E213" s="14">
        <v>213.375912</v>
      </c>
      <c r="F213" s="14">
        <v>181.20532900000001</v>
      </c>
      <c r="G213" s="14">
        <v>47.103239000000002</v>
      </c>
      <c r="H213" s="15">
        <v>47.240628999999998</v>
      </c>
      <c r="I213" s="15">
        <v>3.8361499999999999</v>
      </c>
      <c r="J213" s="22">
        <v>0.890000000000013</v>
      </c>
      <c r="K213" s="34" t="str">
        <f t="shared" si="12"/>
        <v>07/YQ</v>
      </c>
      <c r="L213" s="34" t="str">
        <f t="shared" si="13"/>
        <v>Y</v>
      </c>
      <c r="M213" s="34" t="str">
        <f t="shared" si="14"/>
        <v>Q</v>
      </c>
      <c r="N213" s="44">
        <f t="shared" si="15"/>
        <v>211</v>
      </c>
    </row>
    <row r="214" spans="1:14" x14ac:dyDescent="0.25">
      <c r="A214" s="44">
        <v>212</v>
      </c>
      <c r="B214" s="4">
        <v>1.7158</v>
      </c>
      <c r="C214" s="14">
        <v>54.310180000000003</v>
      </c>
      <c r="D214" s="14">
        <v>58.442166999999998</v>
      </c>
      <c r="E214" s="14">
        <v>214.01603900000001</v>
      </c>
      <c r="F214" s="14">
        <v>181.33217200000001</v>
      </c>
      <c r="G214" s="14">
        <v>47.286940999999999</v>
      </c>
      <c r="H214" s="15">
        <v>47.453211000000003</v>
      </c>
      <c r="I214" s="15">
        <v>3.856481</v>
      </c>
      <c r="J214" s="22">
        <v>0.74999999999998401</v>
      </c>
      <c r="K214" s="34" t="str">
        <f t="shared" si="12"/>
        <v>08/YQ</v>
      </c>
      <c r="L214" s="34" t="str">
        <f t="shared" si="13"/>
        <v>Y</v>
      </c>
      <c r="M214" s="34" t="str">
        <f t="shared" si="14"/>
        <v>Q</v>
      </c>
      <c r="N214" s="44">
        <f t="shared" si="15"/>
        <v>212</v>
      </c>
    </row>
    <row r="215" spans="1:14" x14ac:dyDescent="0.25">
      <c r="A215" s="44">
        <v>213</v>
      </c>
      <c r="B215" s="4">
        <v>1.8006</v>
      </c>
      <c r="C215" s="14">
        <v>54.391644999999997</v>
      </c>
      <c r="D215" s="14">
        <v>58.693468000000003</v>
      </c>
      <c r="E215" s="14">
        <v>215.10751999999999</v>
      </c>
      <c r="F215" s="14">
        <v>182.347632</v>
      </c>
      <c r="G215" s="14">
        <v>47.372056999999998</v>
      </c>
      <c r="H215" s="15">
        <v>47.552861999999998</v>
      </c>
      <c r="I215" s="15">
        <v>3.8661219999999998</v>
      </c>
      <c r="J215" s="22">
        <v>0.81999999999999895</v>
      </c>
      <c r="K215" s="34" t="str">
        <f t="shared" si="12"/>
        <v>09/YQ</v>
      </c>
      <c r="L215" s="34" t="str">
        <f t="shared" si="13"/>
        <v>Y</v>
      </c>
      <c r="M215" s="34" t="str">
        <f t="shared" si="14"/>
        <v>Q</v>
      </c>
      <c r="N215" s="44">
        <f t="shared" si="15"/>
        <v>213</v>
      </c>
    </row>
    <row r="216" spans="1:14" x14ac:dyDescent="0.25">
      <c r="A216" s="44">
        <v>214</v>
      </c>
      <c r="B216" s="4">
        <v>1.8364</v>
      </c>
      <c r="C216" s="14">
        <v>54.647284999999997</v>
      </c>
      <c r="D216" s="14">
        <v>59.192362000000003</v>
      </c>
      <c r="E216" s="14">
        <v>216.72082599999999</v>
      </c>
      <c r="F216" s="14">
        <v>184.20757699999999</v>
      </c>
      <c r="G216" s="14">
        <v>47.675238</v>
      </c>
      <c r="H216" s="15">
        <v>47.857199999999999</v>
      </c>
      <c r="I216" s="15">
        <v>3.882746</v>
      </c>
      <c r="J216" s="22">
        <v>0.70999999999998797</v>
      </c>
      <c r="K216" s="34" t="str">
        <f t="shared" si="12"/>
        <v>010/YQ</v>
      </c>
      <c r="L216" s="34" t="str">
        <f t="shared" si="13"/>
        <v>Y</v>
      </c>
      <c r="M216" s="34" t="str">
        <f t="shared" si="14"/>
        <v>Q</v>
      </c>
      <c r="N216" s="44">
        <f t="shared" si="15"/>
        <v>214</v>
      </c>
    </row>
    <row r="217" spans="1:14" x14ac:dyDescent="0.25">
      <c r="A217" s="44">
        <v>215</v>
      </c>
      <c r="B217" s="4">
        <v>1.9946999999999999</v>
      </c>
      <c r="C217" s="14">
        <v>54.838549999999998</v>
      </c>
      <c r="D217" s="14">
        <v>59.796123999999999</v>
      </c>
      <c r="E217" s="14">
        <v>220.795177</v>
      </c>
      <c r="F217" s="14">
        <v>185.88386499999999</v>
      </c>
      <c r="G217" s="14">
        <v>47.937451000000003</v>
      </c>
      <c r="H217" s="14">
        <v>48.029485000000001</v>
      </c>
      <c r="I217" s="14">
        <v>3.9025479999999999</v>
      </c>
      <c r="J217" s="22">
        <v>0.74000000000000699</v>
      </c>
      <c r="K217" s="34" t="str">
        <f t="shared" si="12"/>
        <v>11/YQ</v>
      </c>
      <c r="L217" s="34" t="str">
        <f t="shared" si="13"/>
        <v>Y</v>
      </c>
      <c r="M217" s="34" t="str">
        <f t="shared" si="14"/>
        <v>Q</v>
      </c>
      <c r="N217" s="44">
        <f t="shared" si="15"/>
        <v>215</v>
      </c>
    </row>
    <row r="218" spans="1:14" x14ac:dyDescent="0.25">
      <c r="A218" s="44">
        <v>216</v>
      </c>
      <c r="B218" s="4">
        <v>2.0442999999999998</v>
      </c>
      <c r="C218" s="14">
        <v>54.964677999999999</v>
      </c>
      <c r="D218" s="14">
        <v>60.190778000000002</v>
      </c>
      <c r="E218" s="14">
        <v>222.406981</v>
      </c>
      <c r="F218" s="14">
        <v>187.16646299999999</v>
      </c>
      <c r="G218" s="14">
        <v>48.062088000000003</v>
      </c>
      <c r="H218" s="14">
        <v>48.067908000000003</v>
      </c>
      <c r="I218" s="14">
        <v>3.9095719999999998</v>
      </c>
      <c r="J218" s="22">
        <v>0.640000000000018</v>
      </c>
      <c r="K218" s="34" t="str">
        <f t="shared" si="12"/>
        <v>012/YK</v>
      </c>
      <c r="L218" s="34" t="str">
        <f t="shared" si="13"/>
        <v>Y</v>
      </c>
      <c r="M218" s="34" t="str">
        <f t="shared" si="14"/>
        <v>K</v>
      </c>
      <c r="N218" s="44">
        <f t="shared" si="15"/>
        <v>216</v>
      </c>
    </row>
    <row r="219" spans="1:14" x14ac:dyDescent="0.25">
      <c r="A219" s="44">
        <v>217</v>
      </c>
      <c r="B219" s="4">
        <v>2.0337999999999998</v>
      </c>
      <c r="C219" s="14">
        <v>55.036132000000002</v>
      </c>
      <c r="D219" s="14">
        <v>60.997334000000002</v>
      </c>
      <c r="E219" s="14">
        <v>223.89710700000001</v>
      </c>
      <c r="F219" s="14">
        <v>190.011393</v>
      </c>
      <c r="G219" s="14">
        <v>48.268754000000001</v>
      </c>
      <c r="H219" s="14">
        <v>48.2746</v>
      </c>
      <c r="I219" s="14">
        <v>3.9224730000000001</v>
      </c>
      <c r="J219" s="22">
        <v>0.67999999999996996</v>
      </c>
      <c r="K219" s="34" t="str">
        <f t="shared" si="12"/>
        <v>01/YK</v>
      </c>
      <c r="L219" s="34" t="str">
        <f t="shared" si="13"/>
        <v>Y</v>
      </c>
      <c r="M219" s="34" t="str">
        <f t="shared" si="14"/>
        <v>K</v>
      </c>
      <c r="N219" s="44">
        <f t="shared" si="15"/>
        <v>217</v>
      </c>
    </row>
    <row r="220" spans="1:14" x14ac:dyDescent="0.25">
      <c r="A220" s="44">
        <v>218</v>
      </c>
      <c r="B220" s="4">
        <v>2.0234000000000001</v>
      </c>
      <c r="C220" s="14">
        <v>55.184728999999997</v>
      </c>
      <c r="D220" s="14">
        <v>61.869594999999997</v>
      </c>
      <c r="E220" s="14">
        <v>224.47923900000001</v>
      </c>
      <c r="F220" s="14">
        <v>192.46253899999999</v>
      </c>
      <c r="G220" s="14">
        <v>48.485962999999998</v>
      </c>
      <c r="H220" s="14">
        <v>48.472524999999997</v>
      </c>
      <c r="I220" s="14">
        <v>3.93777</v>
      </c>
      <c r="J220" s="22">
        <v>0.69000000000003503</v>
      </c>
      <c r="K220" s="34" t="str">
        <f t="shared" si="12"/>
        <v>02/YK</v>
      </c>
      <c r="L220" s="34" t="str">
        <f t="shared" si="13"/>
        <v>Y</v>
      </c>
      <c r="M220" s="34" t="str">
        <f t="shared" si="14"/>
        <v>K</v>
      </c>
      <c r="N220" s="44">
        <f t="shared" si="15"/>
        <v>218</v>
      </c>
    </row>
    <row r="221" spans="1:14" x14ac:dyDescent="0.25">
      <c r="A221" s="44">
        <v>219</v>
      </c>
      <c r="B221" s="4">
        <v>2.0139</v>
      </c>
      <c r="C221" s="14">
        <v>55.488244999999999</v>
      </c>
      <c r="D221" s="14">
        <v>62.469729999999998</v>
      </c>
      <c r="E221" s="14">
        <v>224.97309300000001</v>
      </c>
      <c r="F221" s="14">
        <v>194.15620899999999</v>
      </c>
      <c r="G221" s="14">
        <v>48.791423999999999</v>
      </c>
      <c r="H221" s="14">
        <v>48.748818</v>
      </c>
      <c r="I221" s="14">
        <v>3.956671</v>
      </c>
      <c r="J221" s="22">
        <v>0.53999999999998505</v>
      </c>
      <c r="K221" s="34" t="str">
        <f t="shared" si="12"/>
        <v>03/YK</v>
      </c>
      <c r="L221" s="34" t="str">
        <f t="shared" si="13"/>
        <v>Y</v>
      </c>
      <c r="M221" s="34" t="str">
        <f t="shared" si="14"/>
        <v>K</v>
      </c>
      <c r="N221" s="44">
        <f t="shared" si="15"/>
        <v>219</v>
      </c>
    </row>
    <row r="222" spans="1:14" x14ac:dyDescent="0.25">
      <c r="A222" s="44">
        <v>220</v>
      </c>
      <c r="B222" s="4">
        <v>2.0381999999999998</v>
      </c>
      <c r="C222" s="14">
        <v>55.93215</v>
      </c>
      <c r="D222" s="14">
        <v>62.482222999999998</v>
      </c>
      <c r="E222" s="14">
        <v>225.445536</v>
      </c>
      <c r="F222" s="14">
        <v>193.55432400000001</v>
      </c>
      <c r="G222" s="14">
        <v>49.137842999999997</v>
      </c>
      <c r="H222" s="14">
        <v>49.036436000000002</v>
      </c>
      <c r="I222" s="14">
        <v>3.982389</v>
      </c>
      <c r="J222" s="22">
        <v>0.60999999999999899</v>
      </c>
      <c r="K222" s="34" t="str">
        <f t="shared" si="12"/>
        <v>04/YK</v>
      </c>
      <c r="L222" s="34" t="str">
        <f t="shared" si="13"/>
        <v>Y</v>
      </c>
      <c r="M222" s="34" t="str">
        <f t="shared" si="14"/>
        <v>K</v>
      </c>
      <c r="N222" s="44">
        <f t="shared" si="15"/>
        <v>220</v>
      </c>
    </row>
    <row r="223" spans="1:14" x14ac:dyDescent="0.25">
      <c r="A223" s="44">
        <v>221</v>
      </c>
      <c r="B223" s="4">
        <v>2.0629</v>
      </c>
      <c r="C223" s="14">
        <v>56.312488000000002</v>
      </c>
      <c r="D223" s="14">
        <v>62.463478000000002</v>
      </c>
      <c r="E223" s="14">
        <v>226.18950599999999</v>
      </c>
      <c r="F223" s="14">
        <v>194.03820899999999</v>
      </c>
      <c r="G223" s="14">
        <v>49.403187000000003</v>
      </c>
      <c r="H223" s="14">
        <v>49.330654000000003</v>
      </c>
      <c r="I223" s="14">
        <v>4.0038929999999997</v>
      </c>
      <c r="J223" s="22">
        <v>0.55000000000000604</v>
      </c>
      <c r="K223" s="34" t="str">
        <f t="shared" si="12"/>
        <v>05/YK</v>
      </c>
      <c r="L223" s="34" t="str">
        <f t="shared" si="13"/>
        <v>Y</v>
      </c>
      <c r="M223" s="34" t="str">
        <f t="shared" si="14"/>
        <v>K</v>
      </c>
      <c r="N223" s="44">
        <f t="shared" si="15"/>
        <v>221</v>
      </c>
    </row>
    <row r="224" spans="1:14" x14ac:dyDescent="0.25">
      <c r="A224" s="44">
        <v>222</v>
      </c>
      <c r="B224" s="4">
        <v>2.0840000000000001</v>
      </c>
      <c r="C224" s="14">
        <v>56.751725</v>
      </c>
      <c r="D224" s="14">
        <v>62.888229000000003</v>
      </c>
      <c r="E224" s="14">
        <v>226.55140900000001</v>
      </c>
      <c r="F224" s="14">
        <v>195.318861</v>
      </c>
      <c r="G224" s="14">
        <v>49.768770000000004</v>
      </c>
      <c r="H224" s="14">
        <v>49.720365999999999</v>
      </c>
      <c r="I224" s="14">
        <v>4.0315190000000003</v>
      </c>
      <c r="J224" s="22">
        <v>0.55000000000000604</v>
      </c>
      <c r="K224" s="34" t="str">
        <f t="shared" si="12"/>
        <v>06/YK</v>
      </c>
      <c r="L224" s="34" t="str">
        <f t="shared" si="13"/>
        <v>Y</v>
      </c>
      <c r="M224" s="34" t="str">
        <f t="shared" si="14"/>
        <v>K</v>
      </c>
      <c r="N224" s="44">
        <f t="shared" si="15"/>
        <v>222</v>
      </c>
    </row>
    <row r="225" spans="1:14" x14ac:dyDescent="0.25">
      <c r="A225" s="44">
        <v>223</v>
      </c>
      <c r="B225" s="4">
        <v>2.0373999999999999</v>
      </c>
      <c r="C225" s="14">
        <v>57.404369000000003</v>
      </c>
      <c r="D225" s="14">
        <v>63.102048000000003</v>
      </c>
      <c r="E225" s="14">
        <v>228.02399299999999</v>
      </c>
      <c r="F225" s="14">
        <v>195.92434900000001</v>
      </c>
      <c r="G225" s="14">
        <v>50.226641999999998</v>
      </c>
      <c r="H225" s="14">
        <v>50.147961000000002</v>
      </c>
      <c r="I225" s="14">
        <v>4.0669959999999996</v>
      </c>
      <c r="J225" s="22">
        <v>0.599999999999978</v>
      </c>
      <c r="K225" s="34" t="str">
        <f t="shared" si="12"/>
        <v>07/YK</v>
      </c>
      <c r="L225" s="34" t="str">
        <f t="shared" si="13"/>
        <v>Y</v>
      </c>
      <c r="M225" s="34" t="str">
        <f t="shared" si="14"/>
        <v>K</v>
      </c>
      <c r="N225" s="44">
        <f t="shared" si="15"/>
        <v>223</v>
      </c>
    </row>
    <row r="226" spans="1:14" x14ac:dyDescent="0.25">
      <c r="A226" s="44">
        <v>224</v>
      </c>
      <c r="B226" s="4">
        <v>1.96</v>
      </c>
      <c r="C226" s="14">
        <v>57.530658000000003</v>
      </c>
      <c r="D226" s="14">
        <v>63.285043000000002</v>
      </c>
      <c r="E226" s="14">
        <v>229.39213599999999</v>
      </c>
      <c r="F226" s="14">
        <v>196.31619699999999</v>
      </c>
      <c r="G226" s="14">
        <v>50.487819999999999</v>
      </c>
      <c r="H226" s="14">
        <v>50.448847999999998</v>
      </c>
      <c r="I226" s="14">
        <v>4.0946509999999998</v>
      </c>
      <c r="J226" s="22">
        <v>0.49000000000001298</v>
      </c>
      <c r="K226" s="34" t="str">
        <f t="shared" si="12"/>
        <v>08/YK</v>
      </c>
      <c r="L226" s="34" t="str">
        <f t="shared" si="13"/>
        <v>Y</v>
      </c>
      <c r="M226" s="34" t="str">
        <f t="shared" si="14"/>
        <v>K</v>
      </c>
      <c r="N226" s="44">
        <f t="shared" si="15"/>
        <v>224</v>
      </c>
    </row>
    <row r="227" spans="1:14" x14ac:dyDescent="0.25">
      <c r="A227" s="44">
        <v>225</v>
      </c>
      <c r="B227" s="4">
        <v>1.9749000000000001</v>
      </c>
      <c r="C227" s="14">
        <v>57.432855000000004</v>
      </c>
      <c r="D227" s="14">
        <v>63.417940999999999</v>
      </c>
      <c r="E227" s="14">
        <v>230.539096</v>
      </c>
      <c r="F227" s="14">
        <v>196.92477700000001</v>
      </c>
      <c r="G227" s="14">
        <v>50.790745999999999</v>
      </c>
      <c r="H227" s="14">
        <v>50.685957000000002</v>
      </c>
      <c r="I227" s="14">
        <v>4.1147140000000002</v>
      </c>
      <c r="J227" s="22">
        <v>0.55000000000000604</v>
      </c>
      <c r="K227" s="34" t="str">
        <f t="shared" si="12"/>
        <v>09/YK</v>
      </c>
      <c r="L227" s="34" t="str">
        <f t="shared" si="13"/>
        <v>Y</v>
      </c>
      <c r="M227" s="34" t="str">
        <f t="shared" si="14"/>
        <v>K</v>
      </c>
      <c r="N227" s="44">
        <f t="shared" si="15"/>
        <v>225</v>
      </c>
    </row>
    <row r="228" spans="1:14" x14ac:dyDescent="0.25">
      <c r="A228" s="44">
        <v>226</v>
      </c>
      <c r="B228" s="4">
        <v>1.9790000000000001</v>
      </c>
      <c r="C228" s="14">
        <v>57.593665999999999</v>
      </c>
      <c r="D228" s="14">
        <v>63.513066999999999</v>
      </c>
      <c r="E228" s="14">
        <v>232.24508499999999</v>
      </c>
      <c r="F228" s="14">
        <v>196.806622</v>
      </c>
      <c r="G228" s="14">
        <v>51.090411000000003</v>
      </c>
      <c r="H228" s="14">
        <v>50.964728999999998</v>
      </c>
      <c r="I228" s="14">
        <v>4.1356989999999998</v>
      </c>
      <c r="J228" s="22">
        <v>0.60999999999999899</v>
      </c>
      <c r="K228" s="34" t="str">
        <f t="shared" si="12"/>
        <v>010/YK</v>
      </c>
      <c r="L228" s="34" t="str">
        <f t="shared" si="13"/>
        <v>Y</v>
      </c>
      <c r="M228" s="34" t="str">
        <f t="shared" si="14"/>
        <v>K</v>
      </c>
      <c r="N228" s="44">
        <f t="shared" si="15"/>
        <v>226</v>
      </c>
    </row>
    <row r="229" spans="1:14" x14ac:dyDescent="0.25">
      <c r="A229" s="44">
        <v>227</v>
      </c>
      <c r="B229" s="4">
        <v>2.0232999999999999</v>
      </c>
      <c r="C229" s="14">
        <v>57.651259000000003</v>
      </c>
      <c r="D229" s="14">
        <v>63.513066999999999</v>
      </c>
      <c r="E229" s="14">
        <v>237.47059899999999</v>
      </c>
      <c r="F229" s="14">
        <v>197.43640300000001</v>
      </c>
      <c r="G229" s="14">
        <v>51.269227000000001</v>
      </c>
      <c r="H229" s="14">
        <v>51.153297999999999</v>
      </c>
      <c r="I229" s="14">
        <v>4.1547229999999997</v>
      </c>
      <c r="J229" s="22">
        <v>0.599999999999978</v>
      </c>
      <c r="K229" s="34" t="str">
        <f t="shared" si="12"/>
        <v>11/YK</v>
      </c>
      <c r="L229" s="34" t="str">
        <f t="shared" si="13"/>
        <v>Y</v>
      </c>
      <c r="M229" s="34" t="str">
        <f t="shared" si="14"/>
        <v>K</v>
      </c>
      <c r="N229" s="44">
        <f t="shared" si="15"/>
        <v>227</v>
      </c>
    </row>
    <row r="230" spans="1:14" x14ac:dyDescent="0.25">
      <c r="A230" s="44">
        <v>228</v>
      </c>
      <c r="B230" s="4">
        <v>2.1366999999999998</v>
      </c>
      <c r="C230" s="14">
        <v>57.835743000000001</v>
      </c>
      <c r="D230" s="14">
        <v>63.989415000000001</v>
      </c>
      <c r="E230" s="14">
        <v>240.20151000000001</v>
      </c>
      <c r="F230" s="14">
        <v>198.93691899999999</v>
      </c>
      <c r="G230" s="14">
        <v>51.412779999999998</v>
      </c>
      <c r="H230" s="14">
        <v>51.286296</v>
      </c>
      <c r="I230" s="14">
        <v>4.1705100000000002</v>
      </c>
      <c r="J230" s="22">
        <v>0.60999999999999899</v>
      </c>
      <c r="K230" s="34" t="str">
        <f t="shared" si="12"/>
        <v>012/YR</v>
      </c>
      <c r="L230" s="34" t="str">
        <f t="shared" si="13"/>
        <v>Y</v>
      </c>
      <c r="M230" s="34" t="str">
        <f t="shared" si="14"/>
        <v>R</v>
      </c>
      <c r="N230" s="44">
        <f t="shared" si="15"/>
        <v>228</v>
      </c>
    </row>
    <row r="231" spans="1:14" x14ac:dyDescent="0.25">
      <c r="A231" s="44">
        <v>229</v>
      </c>
      <c r="B231" s="4">
        <v>2.2547999999999999</v>
      </c>
      <c r="C231" s="14">
        <v>57.760556000000001</v>
      </c>
      <c r="D231" s="14">
        <v>64.155787000000004</v>
      </c>
      <c r="E231" s="14">
        <v>241.354477</v>
      </c>
      <c r="F231" s="14">
        <v>199.21543</v>
      </c>
      <c r="G231" s="14">
        <v>51.345942999999998</v>
      </c>
      <c r="H231" s="14">
        <v>51.301681000000002</v>
      </c>
      <c r="I231" s="14">
        <v>4.1734289999999996</v>
      </c>
      <c r="J231" s="22">
        <v>0.72000000000000997</v>
      </c>
      <c r="K231" s="34" t="str">
        <f t="shared" si="12"/>
        <v>01/YR</v>
      </c>
      <c r="L231" s="34" t="str">
        <f t="shared" si="13"/>
        <v>Y</v>
      </c>
      <c r="M231" s="34" t="str">
        <f t="shared" si="14"/>
        <v>R</v>
      </c>
      <c r="N231" s="44">
        <f t="shared" si="15"/>
        <v>229</v>
      </c>
    </row>
    <row r="232" spans="1:14" x14ac:dyDescent="0.25">
      <c r="A232" s="44">
        <v>230</v>
      </c>
      <c r="B232" s="4">
        <v>2.3433999999999999</v>
      </c>
      <c r="C232" s="14">
        <v>57.887628999999997</v>
      </c>
      <c r="D232" s="14">
        <v>64.252020000000002</v>
      </c>
      <c r="E232" s="14">
        <v>242.102675</v>
      </c>
      <c r="F232" s="14">
        <v>200.13182</v>
      </c>
      <c r="G232" s="14">
        <v>51.428095999999996</v>
      </c>
      <c r="H232" s="14">
        <v>51.424804999999999</v>
      </c>
      <c r="I232" s="14">
        <v>4.1801060000000003</v>
      </c>
      <c r="J232" s="22">
        <v>0.70999999999998797</v>
      </c>
      <c r="K232" s="34" t="str">
        <f t="shared" si="12"/>
        <v>02/YR</v>
      </c>
      <c r="L232" s="34" t="str">
        <f t="shared" si="13"/>
        <v>Y</v>
      </c>
      <c r="M232" s="34" t="str">
        <f t="shared" si="14"/>
        <v>R</v>
      </c>
      <c r="N232" s="44">
        <f t="shared" si="15"/>
        <v>230</v>
      </c>
    </row>
    <row r="233" spans="1:14" x14ac:dyDescent="0.25">
      <c r="A233" s="44">
        <v>231</v>
      </c>
      <c r="B233" s="4">
        <v>2.2785000000000002</v>
      </c>
      <c r="C233" s="14">
        <v>58.032347999999999</v>
      </c>
      <c r="D233" s="14">
        <v>65.215800000000002</v>
      </c>
      <c r="E233" s="14">
        <v>243.14371600000001</v>
      </c>
      <c r="F233" s="14">
        <v>202.853612</v>
      </c>
      <c r="G233" s="14">
        <v>51.566951000000003</v>
      </c>
      <c r="H233" s="14">
        <v>51.604790999999999</v>
      </c>
      <c r="I233" s="14">
        <v>4.1913919999999996</v>
      </c>
      <c r="J233" s="22">
        <v>0.71000000000003305</v>
      </c>
      <c r="K233" s="34" t="str">
        <f t="shared" si="12"/>
        <v>03/YR</v>
      </c>
      <c r="L233" s="34" t="str">
        <f t="shared" si="13"/>
        <v>Y</v>
      </c>
      <c r="M233" s="34" t="str">
        <f t="shared" si="14"/>
        <v>R</v>
      </c>
      <c r="N233" s="44">
        <f t="shared" si="15"/>
        <v>231</v>
      </c>
    </row>
    <row r="234" spans="1:14" x14ac:dyDescent="0.25">
      <c r="A234" s="44">
        <v>232</v>
      </c>
      <c r="B234" s="4">
        <v>2.1818</v>
      </c>
      <c r="C234" s="14">
        <v>58.310903000000003</v>
      </c>
      <c r="D234" s="14">
        <v>65.776655000000005</v>
      </c>
      <c r="E234" s="14">
        <v>243.77588900000001</v>
      </c>
      <c r="F234" s="14">
        <v>204.13158899999999</v>
      </c>
      <c r="G234" s="14">
        <v>51.881509000000001</v>
      </c>
      <c r="H234" s="14">
        <v>51.898938000000001</v>
      </c>
      <c r="I234" s="14">
        <v>4.2115099999999996</v>
      </c>
      <c r="J234" s="22">
        <v>0.80999999999997696</v>
      </c>
      <c r="K234" s="34" t="str">
        <f t="shared" si="12"/>
        <v>04/YR</v>
      </c>
      <c r="L234" s="34" t="str">
        <f t="shared" si="13"/>
        <v>Y</v>
      </c>
      <c r="M234" s="34" t="str">
        <f t="shared" si="14"/>
        <v>R</v>
      </c>
      <c r="N234" s="44">
        <f t="shared" si="15"/>
        <v>232</v>
      </c>
    </row>
    <row r="235" spans="1:14" x14ac:dyDescent="0.25">
      <c r="A235" s="44">
        <v>233</v>
      </c>
      <c r="B235" s="4">
        <v>2.3289</v>
      </c>
      <c r="C235" s="14">
        <v>58.579132999999999</v>
      </c>
      <c r="D235" s="14">
        <v>65.967406999999994</v>
      </c>
      <c r="E235" s="14">
        <v>244.62910400000001</v>
      </c>
      <c r="F235" s="14">
        <v>204.703157</v>
      </c>
      <c r="G235" s="14">
        <v>52.161669000000003</v>
      </c>
      <c r="H235" s="14">
        <v>52.179192</v>
      </c>
      <c r="I235" s="14">
        <v>4.2355150000000004</v>
      </c>
      <c r="J235" s="22">
        <v>0.72000000000000997</v>
      </c>
      <c r="K235" s="34" t="str">
        <f t="shared" si="12"/>
        <v>05/YR</v>
      </c>
      <c r="L235" s="34" t="str">
        <f t="shared" si="13"/>
        <v>Y</v>
      </c>
      <c r="M235" s="34" t="str">
        <f t="shared" si="14"/>
        <v>R</v>
      </c>
      <c r="N235" s="44">
        <f t="shared" si="15"/>
        <v>233</v>
      </c>
    </row>
    <row r="236" spans="1:14" x14ac:dyDescent="0.25">
      <c r="A236" s="44">
        <v>234</v>
      </c>
      <c r="B236" s="4">
        <v>2.3353999999999999</v>
      </c>
      <c r="C236" s="14">
        <v>58.959896999999998</v>
      </c>
      <c r="D236" s="14">
        <v>66.363211000000007</v>
      </c>
      <c r="E236" s="14">
        <v>244.87373299999999</v>
      </c>
      <c r="F236" s="14">
        <v>206.11560800000001</v>
      </c>
      <c r="G236" s="14">
        <v>52.537233000000001</v>
      </c>
      <c r="H236" s="14">
        <v>52.659239999999997</v>
      </c>
      <c r="I236" s="14">
        <v>4.2672809999999997</v>
      </c>
      <c r="J236" s="22">
        <v>0.78999999999998005</v>
      </c>
      <c r="K236" s="34" t="str">
        <f t="shared" si="12"/>
        <v>06/YR</v>
      </c>
      <c r="L236" s="34" t="str">
        <f t="shared" si="13"/>
        <v>Y</v>
      </c>
      <c r="M236" s="34" t="str">
        <f t="shared" si="14"/>
        <v>R</v>
      </c>
      <c r="N236" s="44">
        <f t="shared" si="15"/>
        <v>234</v>
      </c>
    </row>
    <row r="237" spans="1:14" x14ac:dyDescent="0.25">
      <c r="A237" s="44">
        <v>235</v>
      </c>
      <c r="B237" s="4">
        <v>2.347</v>
      </c>
      <c r="C237" s="14">
        <v>59.514119999999998</v>
      </c>
      <c r="D237" s="14">
        <v>66.681753999999998</v>
      </c>
      <c r="E237" s="14">
        <v>247.02862099999999</v>
      </c>
      <c r="F237" s="14">
        <v>206.94006999999999</v>
      </c>
      <c r="G237" s="14">
        <v>52.868217000000001</v>
      </c>
      <c r="H237" s="14">
        <v>52.948864999999998</v>
      </c>
      <c r="I237" s="14">
        <v>4.295871</v>
      </c>
      <c r="J237" s="22">
        <v>0.85000000000001696</v>
      </c>
      <c r="K237" s="34" t="str">
        <f t="shared" si="12"/>
        <v>07/YR</v>
      </c>
      <c r="L237" s="34" t="str">
        <f t="shared" si="13"/>
        <v>Y</v>
      </c>
      <c r="M237" s="34" t="str">
        <f t="shared" si="14"/>
        <v>R</v>
      </c>
      <c r="N237" s="44">
        <f t="shared" si="15"/>
        <v>235</v>
      </c>
    </row>
    <row r="238" spans="1:14" x14ac:dyDescent="0.25">
      <c r="A238" s="44">
        <v>236</v>
      </c>
      <c r="B238" s="4">
        <v>2.3923999999999999</v>
      </c>
      <c r="C238" s="14">
        <v>59.823593000000002</v>
      </c>
      <c r="D238" s="14">
        <v>66.935143999999994</v>
      </c>
      <c r="E238" s="14">
        <v>247.84381500000001</v>
      </c>
      <c r="F238" s="14">
        <v>208.69906</v>
      </c>
      <c r="G238" s="14">
        <v>53.206572999999999</v>
      </c>
      <c r="H238" s="14">
        <v>53.314211999999998</v>
      </c>
      <c r="I238" s="14">
        <v>4.3259420000000004</v>
      </c>
      <c r="J238" s="22">
        <v>0.78999999999998005</v>
      </c>
      <c r="K238" s="34" t="str">
        <f t="shared" si="12"/>
        <v>08/YR</v>
      </c>
      <c r="L238" s="34" t="str">
        <f t="shared" si="13"/>
        <v>Y</v>
      </c>
      <c r="M238" s="34" t="str">
        <f t="shared" si="14"/>
        <v>R</v>
      </c>
      <c r="N238" s="44">
        <f t="shared" si="15"/>
        <v>236</v>
      </c>
    </row>
    <row r="239" spans="1:14" x14ac:dyDescent="0.25">
      <c r="A239" s="44">
        <v>237</v>
      </c>
      <c r="B239" s="4">
        <v>2.3637999999999999</v>
      </c>
      <c r="C239" s="14">
        <v>60.266286999999998</v>
      </c>
      <c r="D239" s="14">
        <v>68.052959999999999</v>
      </c>
      <c r="E239" s="14">
        <v>248.53777700000001</v>
      </c>
      <c r="F239" s="14">
        <v>211.78780599999999</v>
      </c>
      <c r="G239" s="14">
        <v>53.642865999999998</v>
      </c>
      <c r="H239" s="14">
        <v>53.804701999999999</v>
      </c>
      <c r="I239" s="14">
        <v>4.3575210000000002</v>
      </c>
      <c r="J239" s="22">
        <v>0.770000000000026</v>
      </c>
      <c r="K239" s="34" t="str">
        <f t="shared" si="12"/>
        <v>09/YR</v>
      </c>
      <c r="L239" s="34" t="str">
        <f t="shared" si="13"/>
        <v>Y</v>
      </c>
      <c r="M239" s="34" t="str">
        <f t="shared" si="14"/>
        <v>R</v>
      </c>
      <c r="N239" s="44">
        <f t="shared" si="15"/>
        <v>237</v>
      </c>
    </row>
    <row r="240" spans="1:14" x14ac:dyDescent="0.25">
      <c r="A240" s="44">
        <v>238</v>
      </c>
      <c r="B240" s="4">
        <v>2.2256999999999998</v>
      </c>
      <c r="C240" s="14">
        <v>60.585698000000001</v>
      </c>
      <c r="D240" s="14">
        <v>68.583772999999994</v>
      </c>
      <c r="E240" s="14">
        <v>250.724909</v>
      </c>
      <c r="F240" s="14">
        <v>212.74085099999999</v>
      </c>
      <c r="G240" s="14">
        <v>54.061279999999996</v>
      </c>
      <c r="H240" s="14">
        <v>54.165193000000002</v>
      </c>
      <c r="I240" s="14">
        <v>4.3915090000000001</v>
      </c>
      <c r="J240" s="22">
        <v>0.81999999999999895</v>
      </c>
      <c r="K240" s="34" t="str">
        <f t="shared" si="12"/>
        <v>010/YR</v>
      </c>
      <c r="L240" s="34" t="str">
        <f t="shared" si="13"/>
        <v>Y</v>
      </c>
      <c r="M240" s="34" t="str">
        <f t="shared" si="14"/>
        <v>R</v>
      </c>
      <c r="N240" s="44">
        <f t="shared" si="15"/>
        <v>238</v>
      </c>
    </row>
    <row r="241" spans="1:14" x14ac:dyDescent="0.25">
      <c r="A241" s="44">
        <v>239</v>
      </c>
      <c r="B241" s="4">
        <v>2.2166000000000001</v>
      </c>
      <c r="C241" s="14">
        <v>60.737161999999998</v>
      </c>
      <c r="D241" s="14">
        <v>68.494613999999999</v>
      </c>
      <c r="E241" s="14">
        <v>255.864769</v>
      </c>
      <c r="F241" s="14">
        <v>211.78351699999999</v>
      </c>
      <c r="G241" s="14">
        <v>54.385646999999999</v>
      </c>
      <c r="H241" s="14">
        <v>54.414352000000001</v>
      </c>
      <c r="I241" s="14">
        <v>4.4169790000000004</v>
      </c>
      <c r="J241" s="22">
        <v>0.87000000000001498</v>
      </c>
      <c r="K241" s="34" t="str">
        <f t="shared" si="12"/>
        <v>11/YR</v>
      </c>
      <c r="L241" s="34" t="str">
        <f t="shared" si="13"/>
        <v>Y</v>
      </c>
      <c r="M241" s="34" t="str">
        <f t="shared" si="14"/>
        <v>R</v>
      </c>
      <c r="N241" s="44">
        <f t="shared" si="15"/>
        <v>239</v>
      </c>
    </row>
    <row r="242" spans="1:14" x14ac:dyDescent="0.25">
      <c r="A242" s="44">
        <v>240</v>
      </c>
      <c r="B242" s="4">
        <v>2.2347000000000001</v>
      </c>
      <c r="C242" s="14">
        <v>60.761456000000003</v>
      </c>
      <c r="D242" s="14">
        <v>67.987752999999998</v>
      </c>
      <c r="E242" s="14">
        <v>257.55347599999999</v>
      </c>
      <c r="F242" s="14">
        <v>210.44927999999999</v>
      </c>
      <c r="G242" s="14">
        <v>54.527048999999998</v>
      </c>
      <c r="H242" s="14">
        <v>54.632008999999996</v>
      </c>
      <c r="I242" s="14">
        <v>4.4377380000000004</v>
      </c>
      <c r="J242" s="22">
        <v>0.81999999999999895</v>
      </c>
      <c r="K242" s="34" t="str">
        <f t="shared" si="12"/>
        <v>012/WX</v>
      </c>
      <c r="L242" s="34" t="str">
        <f t="shared" si="13"/>
        <v>W</v>
      </c>
      <c r="M242" s="34" t="str">
        <f t="shared" si="14"/>
        <v>X</v>
      </c>
      <c r="N242" s="44">
        <f t="shared" si="15"/>
        <v>240</v>
      </c>
    </row>
    <row r="243" spans="1:14" x14ac:dyDescent="0.25">
      <c r="A243" s="44">
        <v>241</v>
      </c>
      <c r="B243" s="4">
        <v>2.2195</v>
      </c>
      <c r="C243" s="14">
        <v>60.858674000000001</v>
      </c>
      <c r="D243" s="14">
        <v>67.573026999999996</v>
      </c>
      <c r="E243" s="14">
        <v>259.48512699999998</v>
      </c>
      <c r="F243" s="14">
        <v>209.291808</v>
      </c>
      <c r="G243" s="14">
        <v>54.597934000000002</v>
      </c>
      <c r="H243" s="14">
        <v>54.637472000000002</v>
      </c>
      <c r="I243" s="14">
        <v>4.4452819999999997</v>
      </c>
      <c r="J243" s="22">
        <v>0.94999999999996199</v>
      </c>
      <c r="K243" s="34" t="str">
        <f t="shared" si="12"/>
        <v>01/WX</v>
      </c>
      <c r="L243" s="34" t="str">
        <f t="shared" si="13"/>
        <v>W</v>
      </c>
      <c r="M243" s="34" t="str">
        <f t="shared" si="14"/>
        <v>X</v>
      </c>
      <c r="N243" s="44">
        <f t="shared" si="15"/>
        <v>241</v>
      </c>
    </row>
    <row r="244" spans="1:14" x14ac:dyDescent="0.25">
      <c r="A244" s="44">
        <v>242</v>
      </c>
      <c r="B244" s="4">
        <v>2.2690000000000001</v>
      </c>
      <c r="C244" s="14">
        <v>61.065593</v>
      </c>
      <c r="D244" s="14">
        <v>67.390579000000002</v>
      </c>
      <c r="E244" s="14">
        <v>259.69271500000002</v>
      </c>
      <c r="F244" s="14">
        <v>209.417383</v>
      </c>
      <c r="G244" s="14">
        <v>54.696210000000001</v>
      </c>
      <c r="H244" s="14">
        <v>54.774065</v>
      </c>
      <c r="I244" s="14">
        <v>4.451505</v>
      </c>
      <c r="J244" s="22">
        <v>0.87000000000001498</v>
      </c>
      <c r="K244" s="34" t="str">
        <f t="shared" si="12"/>
        <v>02/WX</v>
      </c>
      <c r="L244" s="34" t="str">
        <f t="shared" si="13"/>
        <v>W</v>
      </c>
      <c r="M244" s="34" t="str">
        <f t="shared" si="14"/>
        <v>X</v>
      </c>
      <c r="N244" s="44">
        <f t="shared" si="15"/>
        <v>242</v>
      </c>
    </row>
    <row r="245" spans="1:14" x14ac:dyDescent="0.25">
      <c r="A245" s="44">
        <v>243</v>
      </c>
      <c r="B245" s="4">
        <v>2.3401000000000001</v>
      </c>
      <c r="C245" s="14">
        <v>61.193829999999998</v>
      </c>
      <c r="D245" s="14">
        <v>67.525360000000006</v>
      </c>
      <c r="E245" s="14">
        <v>260.08225399999998</v>
      </c>
      <c r="F245" s="14">
        <v>209.45926600000001</v>
      </c>
      <c r="G245" s="14">
        <v>54.964221000000002</v>
      </c>
      <c r="H245" s="14">
        <v>55.086277000000003</v>
      </c>
      <c r="I245" s="14">
        <v>4.4688650000000001</v>
      </c>
      <c r="J245" s="22">
        <v>0.91000000000001102</v>
      </c>
      <c r="K245" s="34" t="str">
        <f t="shared" si="12"/>
        <v>03/WX</v>
      </c>
      <c r="L245" s="34" t="str">
        <f t="shared" si="13"/>
        <v>W</v>
      </c>
      <c r="M245" s="34" t="str">
        <f t="shared" si="14"/>
        <v>X</v>
      </c>
      <c r="N245" s="44">
        <f t="shared" si="15"/>
        <v>243</v>
      </c>
    </row>
    <row r="246" spans="1:14" x14ac:dyDescent="0.25">
      <c r="A246" s="44">
        <v>244</v>
      </c>
      <c r="B246" s="4">
        <v>2.4316</v>
      </c>
      <c r="C246" s="14">
        <v>61.420247000000003</v>
      </c>
      <c r="D246" s="14">
        <v>67.714431000000005</v>
      </c>
      <c r="E246" s="14">
        <v>260.52439299999998</v>
      </c>
      <c r="F246" s="14">
        <v>210.695075</v>
      </c>
      <c r="G246" s="14">
        <v>55.173085</v>
      </c>
      <c r="H246" s="14">
        <v>55.317639</v>
      </c>
      <c r="I246" s="14">
        <v>4.4903149999999998</v>
      </c>
      <c r="J246" s="22">
        <v>0.95000000000000595</v>
      </c>
      <c r="K246" s="34" t="str">
        <f t="shared" si="12"/>
        <v>04/WX</v>
      </c>
      <c r="L246" s="34" t="str">
        <f t="shared" si="13"/>
        <v>W</v>
      </c>
      <c r="M246" s="34" t="str">
        <f t="shared" si="14"/>
        <v>X</v>
      </c>
      <c r="N246" s="44">
        <f t="shared" si="15"/>
        <v>244</v>
      </c>
    </row>
    <row r="247" spans="1:14" x14ac:dyDescent="0.25">
      <c r="A247" s="44">
        <v>245</v>
      </c>
      <c r="B247" s="4">
        <v>2.6135999999999999</v>
      </c>
      <c r="C247" s="14">
        <v>61.844045999999999</v>
      </c>
      <c r="D247" s="14">
        <v>68.378032000000005</v>
      </c>
      <c r="E247" s="14">
        <v>261.67070000000001</v>
      </c>
      <c r="F247" s="14">
        <v>213.09699800000001</v>
      </c>
      <c r="G247" s="14">
        <v>55.465502000000001</v>
      </c>
      <c r="H247" s="14">
        <v>55.599758000000001</v>
      </c>
      <c r="I247" s="14">
        <v>4.5073780000000001</v>
      </c>
      <c r="J247" s="22">
        <v>0.83999999999999597</v>
      </c>
      <c r="K247" s="34" t="str">
        <f t="shared" si="12"/>
        <v>05/WX</v>
      </c>
      <c r="L247" s="34" t="str">
        <f t="shared" si="13"/>
        <v>W</v>
      </c>
      <c r="M247" s="34" t="str">
        <f t="shared" si="14"/>
        <v>X</v>
      </c>
      <c r="N247" s="44">
        <f t="shared" si="15"/>
        <v>245</v>
      </c>
    </row>
    <row r="248" spans="1:14" x14ac:dyDescent="0.25">
      <c r="A248" s="44">
        <v>246</v>
      </c>
      <c r="B248" s="4">
        <v>2.6717</v>
      </c>
      <c r="C248" s="14">
        <v>62.029578000000001</v>
      </c>
      <c r="D248" s="14">
        <v>68.801974999999999</v>
      </c>
      <c r="E248" s="14">
        <v>261.88003600000002</v>
      </c>
      <c r="F248" s="14">
        <v>213.906766</v>
      </c>
      <c r="G248" s="14">
        <v>55.809387999999998</v>
      </c>
      <c r="H248" s="14">
        <v>56.033436000000002</v>
      </c>
      <c r="I248" s="14">
        <v>4.542986</v>
      </c>
      <c r="J248" s="22">
        <v>0.95999999999998298</v>
      </c>
      <c r="K248" s="34" t="str">
        <f t="shared" si="12"/>
        <v>06/WX</v>
      </c>
      <c r="L248" s="34" t="str">
        <f t="shared" si="13"/>
        <v>W</v>
      </c>
      <c r="M248" s="34" t="str">
        <f t="shared" si="14"/>
        <v>X</v>
      </c>
      <c r="N248" s="44">
        <f t="shared" si="15"/>
        <v>246</v>
      </c>
    </row>
    <row r="249" spans="1:14" x14ac:dyDescent="0.25">
      <c r="A249" s="44">
        <v>247</v>
      </c>
      <c r="B249" s="4">
        <v>2.6122000000000001</v>
      </c>
      <c r="C249" s="14">
        <v>63.034457000000003</v>
      </c>
      <c r="D249" s="14">
        <v>69.324870000000004</v>
      </c>
      <c r="E249" s="14">
        <v>264.289332</v>
      </c>
      <c r="F249" s="14">
        <v>215.33994100000001</v>
      </c>
      <c r="G249" s="14">
        <v>56.635365999999998</v>
      </c>
      <c r="H249" s="14">
        <v>56.728250000000003</v>
      </c>
      <c r="I249" s="14">
        <v>4.583418</v>
      </c>
      <c r="J249" s="22">
        <v>0.94000000000003003</v>
      </c>
      <c r="K249" s="34" t="str">
        <f t="shared" si="12"/>
        <v>07/WX</v>
      </c>
      <c r="L249" s="34" t="str">
        <f t="shared" si="13"/>
        <v>W</v>
      </c>
      <c r="M249" s="34" t="str">
        <f t="shared" si="14"/>
        <v>X</v>
      </c>
      <c r="N249" s="44">
        <f t="shared" si="15"/>
        <v>247</v>
      </c>
    </row>
    <row r="250" spans="1:14" x14ac:dyDescent="0.25">
      <c r="A250" s="44">
        <v>248</v>
      </c>
      <c r="B250" s="4">
        <v>2.8391999999999999</v>
      </c>
      <c r="C250" s="14">
        <v>63.803477000000001</v>
      </c>
      <c r="D250" s="14">
        <v>69.512046999999995</v>
      </c>
      <c r="E250" s="14">
        <v>265.10862800000001</v>
      </c>
      <c r="F250" s="14">
        <v>216.48124200000001</v>
      </c>
      <c r="G250" s="14">
        <v>57.292335999999999</v>
      </c>
      <c r="H250" s="14">
        <v>57.420333999999997</v>
      </c>
      <c r="I250" s="14">
        <v>4.6443770000000004</v>
      </c>
      <c r="J250" s="22">
        <v>0.81999999999999895</v>
      </c>
      <c r="K250" s="34" t="str">
        <f t="shared" si="12"/>
        <v>08/WX</v>
      </c>
      <c r="L250" s="34" t="str">
        <f t="shared" si="13"/>
        <v>W</v>
      </c>
      <c r="M250" s="34" t="str">
        <f t="shared" si="14"/>
        <v>X</v>
      </c>
      <c r="N250" s="44">
        <f t="shared" si="15"/>
        <v>248</v>
      </c>
    </row>
    <row r="251" spans="1:14" x14ac:dyDescent="0.25">
      <c r="A251" s="44">
        <v>249</v>
      </c>
      <c r="B251" s="4">
        <v>3.2263999999999999</v>
      </c>
      <c r="C251" s="14">
        <v>64.250101000000001</v>
      </c>
      <c r="D251" s="14">
        <v>70.193264999999997</v>
      </c>
      <c r="E251" s="14">
        <v>266.75230099999999</v>
      </c>
      <c r="F251" s="14">
        <v>219.10066499999999</v>
      </c>
      <c r="G251" s="14">
        <v>58.157449999999997</v>
      </c>
      <c r="H251" s="14">
        <v>58.178282000000003</v>
      </c>
      <c r="I251" s="14">
        <v>4.7019669999999998</v>
      </c>
      <c r="J251" s="22">
        <v>1.0399999999999701</v>
      </c>
      <c r="K251" s="34" t="str">
        <f t="shared" si="12"/>
        <v>09/WX</v>
      </c>
      <c r="L251" s="34" t="str">
        <f t="shared" si="13"/>
        <v>W</v>
      </c>
      <c r="M251" s="34" t="str">
        <f t="shared" si="14"/>
        <v>X</v>
      </c>
      <c r="N251" s="44">
        <f t="shared" si="15"/>
        <v>249</v>
      </c>
    </row>
    <row r="252" spans="1:14" x14ac:dyDescent="0.25">
      <c r="A252" s="44">
        <v>250</v>
      </c>
      <c r="B252" s="4">
        <v>3.0680999999999998</v>
      </c>
      <c r="C252" s="14">
        <v>64.956851999999998</v>
      </c>
      <c r="D252" s="14">
        <v>71.014526000000004</v>
      </c>
      <c r="E252" s="14">
        <v>267.97936099999998</v>
      </c>
      <c r="F252" s="14">
        <v>221.11639099999999</v>
      </c>
      <c r="G252" s="14">
        <v>58.570366999999997</v>
      </c>
      <c r="H252" s="14">
        <v>58.591346999999999</v>
      </c>
      <c r="I252" s="14">
        <v>4.7522779999999996</v>
      </c>
      <c r="J252" s="22">
        <v>0.95000000000000595</v>
      </c>
      <c r="K252" s="34" t="str">
        <f t="shared" si="12"/>
        <v>010/WX</v>
      </c>
      <c r="L252" s="34" t="str">
        <f t="shared" si="13"/>
        <v>W</v>
      </c>
      <c r="M252" s="34" t="str">
        <f t="shared" si="14"/>
        <v>X</v>
      </c>
      <c r="N252" s="44">
        <f t="shared" si="15"/>
        <v>250</v>
      </c>
    </row>
    <row r="253" spans="1:14" x14ac:dyDescent="0.25">
      <c r="A253" s="44">
        <v>251</v>
      </c>
      <c r="B253" s="4">
        <v>2.9893999999999998</v>
      </c>
      <c r="C253" s="14">
        <v>65.359583999999998</v>
      </c>
      <c r="D253" s="14">
        <v>71.305684999999997</v>
      </c>
      <c r="E253" s="14">
        <v>270.52516400000002</v>
      </c>
      <c r="F253" s="14">
        <v>222.000856</v>
      </c>
      <c r="G253" s="14">
        <v>59.150213000000001</v>
      </c>
      <c r="H253" s="14">
        <v>59.024921999999997</v>
      </c>
      <c r="I253" s="14">
        <v>4.7807909999999998</v>
      </c>
      <c r="J253" s="22">
        <v>0.99000000000000199</v>
      </c>
      <c r="K253" s="34" t="str">
        <f t="shared" si="12"/>
        <v>11/WX</v>
      </c>
      <c r="L253" s="34" t="str">
        <f t="shared" si="13"/>
        <v>W</v>
      </c>
      <c r="M253" s="34" t="str">
        <f t="shared" si="14"/>
        <v>X</v>
      </c>
      <c r="N253" s="44">
        <f t="shared" si="15"/>
        <v>251</v>
      </c>
    </row>
    <row r="254" spans="1:14" x14ac:dyDescent="0.25">
      <c r="A254" s="44">
        <v>252</v>
      </c>
      <c r="B254" s="4">
        <v>3.1036000000000001</v>
      </c>
      <c r="C254" s="14">
        <v>65.666774000000004</v>
      </c>
      <c r="D254" s="14">
        <v>71.783433000000002</v>
      </c>
      <c r="E254" s="14">
        <v>275.50282700000002</v>
      </c>
      <c r="F254" s="14">
        <v>223.51046099999999</v>
      </c>
      <c r="G254" s="14">
        <v>59.605668999999999</v>
      </c>
      <c r="H254" s="14">
        <v>59.491218000000003</v>
      </c>
      <c r="I254" s="14">
        <v>4.8281200000000002</v>
      </c>
      <c r="J254" s="22">
        <v>1.0699999999999901</v>
      </c>
      <c r="K254" s="34" t="str">
        <f t="shared" si="12"/>
        <v>012/WY</v>
      </c>
      <c r="L254" s="34" t="str">
        <f t="shared" si="13"/>
        <v>W</v>
      </c>
      <c r="M254" s="34" t="str">
        <f t="shared" si="14"/>
        <v>Y</v>
      </c>
      <c r="N254" s="44">
        <f t="shared" si="15"/>
        <v>252</v>
      </c>
    </row>
    <row r="255" spans="1:14" x14ac:dyDescent="0.25">
      <c r="A255" s="44">
        <v>253</v>
      </c>
      <c r="B255" s="4">
        <v>3.1532</v>
      </c>
      <c r="C255" s="14">
        <v>66.224941000000001</v>
      </c>
      <c r="D255" s="14">
        <v>72.278738000000004</v>
      </c>
      <c r="E255" s="14">
        <v>277.01809200000002</v>
      </c>
      <c r="F255" s="14">
        <v>224.80682100000001</v>
      </c>
      <c r="G255" s="14">
        <v>59.951380999999998</v>
      </c>
      <c r="H255" s="14">
        <v>59.860062999999997</v>
      </c>
      <c r="I255" s="14">
        <v>4.8566050000000001</v>
      </c>
      <c r="J255" s="22">
        <v>1.18</v>
      </c>
      <c r="K255" s="34" t="str">
        <f t="shared" si="12"/>
        <v>01/WY</v>
      </c>
      <c r="L255" s="34" t="str">
        <f t="shared" si="13"/>
        <v>W</v>
      </c>
      <c r="M255" s="34" t="str">
        <f t="shared" si="14"/>
        <v>Y</v>
      </c>
      <c r="N255" s="44">
        <f t="shared" si="15"/>
        <v>253</v>
      </c>
    </row>
    <row r="256" spans="1:14" x14ac:dyDescent="0.25">
      <c r="A256" s="44">
        <v>254</v>
      </c>
      <c r="B256" s="4">
        <v>3.4761000000000002</v>
      </c>
      <c r="C256" s="14">
        <v>66.595799999999997</v>
      </c>
      <c r="D256" s="14">
        <v>72.481117999999995</v>
      </c>
      <c r="E256" s="14">
        <v>278.65249799999998</v>
      </c>
      <c r="F256" s="14">
        <v>225.70604800000001</v>
      </c>
      <c r="G256" s="14">
        <v>60.101258999999999</v>
      </c>
      <c r="H256" s="14">
        <v>59.991754999999998</v>
      </c>
      <c r="I256" s="14">
        <v>4.8774879999999996</v>
      </c>
      <c r="J256" s="22">
        <v>1.1099999999999901</v>
      </c>
      <c r="K256" s="34" t="str">
        <f t="shared" si="12"/>
        <v>02/WY</v>
      </c>
      <c r="L256" s="34" t="str">
        <f t="shared" si="13"/>
        <v>W</v>
      </c>
      <c r="M256" s="34" t="str">
        <f t="shared" si="14"/>
        <v>Y</v>
      </c>
      <c r="N256" s="44">
        <f t="shared" si="15"/>
        <v>254</v>
      </c>
    </row>
    <row r="257" spans="1:14" x14ac:dyDescent="0.25">
      <c r="A257" s="44">
        <v>255</v>
      </c>
      <c r="B257" s="4">
        <v>3.8599000000000001</v>
      </c>
      <c r="C257" s="14">
        <v>67.035331999999997</v>
      </c>
      <c r="D257" s="14">
        <v>73.169687999999994</v>
      </c>
      <c r="E257" s="14">
        <v>279.265533</v>
      </c>
      <c r="F257" s="14">
        <v>228.91107299999999</v>
      </c>
      <c r="G257" s="14">
        <v>60.407775000000001</v>
      </c>
      <c r="H257" s="14">
        <v>60.315710000000003</v>
      </c>
      <c r="I257" s="14">
        <v>4.8965100000000001</v>
      </c>
      <c r="J257" s="22">
        <v>1.1100000000000301</v>
      </c>
      <c r="K257" s="34" t="str">
        <f t="shared" si="12"/>
        <v>03/WY</v>
      </c>
      <c r="L257" s="34" t="str">
        <f t="shared" si="13"/>
        <v>W</v>
      </c>
      <c r="M257" s="34" t="str">
        <f t="shared" si="14"/>
        <v>Y</v>
      </c>
      <c r="N257" s="44">
        <f t="shared" si="15"/>
        <v>255</v>
      </c>
    </row>
    <row r="258" spans="1:14" x14ac:dyDescent="0.25">
      <c r="A258" s="44">
        <v>256</v>
      </c>
      <c r="B258" s="4">
        <v>3.8344</v>
      </c>
      <c r="C258" s="14">
        <v>67.625242</v>
      </c>
      <c r="D258" s="14">
        <v>74.552594999999997</v>
      </c>
      <c r="E258" s="14">
        <v>280.27088800000001</v>
      </c>
      <c r="F258" s="14">
        <v>232.93990700000001</v>
      </c>
      <c r="G258" s="14">
        <v>60.872914000000002</v>
      </c>
      <c r="H258" s="14">
        <v>60.810298000000003</v>
      </c>
      <c r="I258" s="14">
        <v>4.9288259999999999</v>
      </c>
      <c r="J258" s="22">
        <v>1.1099999999999901</v>
      </c>
      <c r="K258" s="34" t="str">
        <f t="shared" si="12"/>
        <v>04/WY</v>
      </c>
      <c r="L258" s="34" t="str">
        <f t="shared" si="13"/>
        <v>W</v>
      </c>
      <c r="M258" s="34" t="str">
        <f t="shared" si="14"/>
        <v>Y</v>
      </c>
      <c r="N258" s="44">
        <f t="shared" si="15"/>
        <v>256</v>
      </c>
    </row>
    <row r="259" spans="1:14" x14ac:dyDescent="0.25">
      <c r="A259" s="44">
        <v>257</v>
      </c>
      <c r="B259" s="4">
        <v>3.8022999999999998</v>
      </c>
      <c r="C259" s="14">
        <v>68.342068999999995</v>
      </c>
      <c r="D259" s="14">
        <v>75.685794000000001</v>
      </c>
      <c r="E259" s="14">
        <v>281.22380900000002</v>
      </c>
      <c r="F259" s="14">
        <v>235.71189100000001</v>
      </c>
      <c r="G259" s="14">
        <v>61.548603</v>
      </c>
      <c r="H259" s="14">
        <v>61.424481999999998</v>
      </c>
      <c r="I259" s="14">
        <v>4.9707210000000002</v>
      </c>
      <c r="J259" s="22">
        <v>1.0599999999999701</v>
      </c>
      <c r="K259" s="34" t="str">
        <f t="shared" si="12"/>
        <v>05/WY</v>
      </c>
      <c r="L259" s="34" t="str">
        <f t="shared" si="13"/>
        <v>W</v>
      </c>
      <c r="M259" s="34" t="str">
        <f t="shared" si="14"/>
        <v>Y</v>
      </c>
      <c r="N259" s="44">
        <f t="shared" si="15"/>
        <v>257</v>
      </c>
    </row>
    <row r="260" spans="1:14" x14ac:dyDescent="0.25">
      <c r="A260" s="44">
        <v>258</v>
      </c>
      <c r="B260" s="4">
        <v>3.8702999999999999</v>
      </c>
      <c r="C260" s="14">
        <v>68.902473000000001</v>
      </c>
      <c r="D260" s="14">
        <v>76.056653999999995</v>
      </c>
      <c r="E260" s="14">
        <v>281.50503200000003</v>
      </c>
      <c r="F260" s="14">
        <v>236.74902299999999</v>
      </c>
      <c r="G260" s="14">
        <v>62.102539999999998</v>
      </c>
      <c r="H260" s="14">
        <v>62.014156999999997</v>
      </c>
      <c r="I260" s="14">
        <v>5.0293749999999999</v>
      </c>
      <c r="J260" s="22">
        <v>1.1600000000000099</v>
      </c>
      <c r="K260" s="34" t="str">
        <f t="shared" ref="K260:K323" si="16">CONCATENATE(IF(AND((A260/12-ROUNDDOWN(A260/12,0))*12&lt;10,A260&lt;&gt;12),"0",""),IF((A260/12-ROUNDDOWN(A260/12,0))*12=0,12,ROUND((A260/12-ROUNDDOWN(A260/12,0))*12,0)),"/",L260,M260)</f>
        <v>06/WY</v>
      </c>
      <c r="L260" s="34" t="str">
        <f t="shared" ref="L260:L323" si="17">VLOOKUP(ROUNDDOWN(A260/120,0),$O$3:$P$12,2,FALSE)</f>
        <v>W</v>
      </c>
      <c r="M260" s="34" t="str">
        <f t="shared" ref="M260:M323" si="18">VLOOKUP(ROUNDDOWN(A260/12,0)-ROUNDDOWN(A260/120,0)*10,$O$3:$P$12,2,FALSE)</f>
        <v>Y</v>
      </c>
      <c r="N260" s="44">
        <f t="shared" ref="N260:N323" si="19">A260</f>
        <v>258</v>
      </c>
    </row>
    <row r="261" spans="1:14" x14ac:dyDescent="0.25">
      <c r="A261" s="44">
        <v>259</v>
      </c>
      <c r="B261" s="4">
        <v>3.8711000000000002</v>
      </c>
      <c r="C261" s="14">
        <v>69.846435999999997</v>
      </c>
      <c r="D261" s="14">
        <v>76.923698999999999</v>
      </c>
      <c r="E261" s="14">
        <v>282.60290099999997</v>
      </c>
      <c r="F261" s="14">
        <v>240.37128300000001</v>
      </c>
      <c r="G261" s="14">
        <v>63.040287999999997</v>
      </c>
      <c r="H261" s="14">
        <v>62.801735999999998</v>
      </c>
      <c r="I261" s="14">
        <v>5.0756449999999997</v>
      </c>
      <c r="J261" s="22">
        <v>1.06000000000002</v>
      </c>
      <c r="K261" s="34" t="str">
        <f t="shared" si="16"/>
        <v>07/WY</v>
      </c>
      <c r="L261" s="34" t="str">
        <f t="shared" si="17"/>
        <v>W</v>
      </c>
      <c r="M261" s="34" t="str">
        <f t="shared" si="18"/>
        <v>Y</v>
      </c>
      <c r="N261" s="44">
        <f t="shared" si="19"/>
        <v>259</v>
      </c>
    </row>
    <row r="262" spans="1:14" x14ac:dyDescent="0.25">
      <c r="A262" s="44">
        <v>260</v>
      </c>
      <c r="B262" s="4">
        <v>3.9885000000000002</v>
      </c>
      <c r="C262" s="14">
        <v>70.468069</v>
      </c>
      <c r="D262" s="14">
        <v>77.916014000000004</v>
      </c>
      <c r="E262" s="14">
        <v>284.12895600000002</v>
      </c>
      <c r="F262" s="14">
        <v>242.270216</v>
      </c>
      <c r="G262" s="14">
        <v>63.63917</v>
      </c>
      <c r="H262" s="14">
        <v>63.366951</v>
      </c>
      <c r="I262" s="14">
        <v>5.1477190000000004</v>
      </c>
      <c r="J262" s="22">
        <v>0.99999999999997902</v>
      </c>
      <c r="K262" s="34" t="str">
        <f t="shared" si="16"/>
        <v>08/WY</v>
      </c>
      <c r="L262" s="34" t="str">
        <f t="shared" si="17"/>
        <v>W</v>
      </c>
      <c r="M262" s="34" t="str">
        <f t="shared" si="18"/>
        <v>Y</v>
      </c>
      <c r="N262" s="44">
        <f t="shared" si="19"/>
        <v>260</v>
      </c>
    </row>
    <row r="263" spans="1:14" x14ac:dyDescent="0.25">
      <c r="A263" s="44">
        <v>261</v>
      </c>
      <c r="B263" s="4">
        <v>3.7115999999999998</v>
      </c>
      <c r="C263" s="14">
        <v>71.151608999999993</v>
      </c>
      <c r="D263" s="14">
        <v>78.313384999999997</v>
      </c>
      <c r="E263" s="14">
        <v>285.94738100000001</v>
      </c>
      <c r="F263" s="14">
        <v>243.31197700000001</v>
      </c>
      <c r="G263" s="14">
        <v>63.919181999999999</v>
      </c>
      <c r="H263" s="14">
        <v>63.639428000000002</v>
      </c>
      <c r="I263" s="14">
        <v>5.1698539999999999</v>
      </c>
      <c r="J263" s="22">
        <v>1.1600000000000099</v>
      </c>
      <c r="K263" s="34" t="str">
        <f t="shared" si="16"/>
        <v>09/WY</v>
      </c>
      <c r="L263" s="34" t="str">
        <f t="shared" si="17"/>
        <v>W</v>
      </c>
      <c r="M263" s="34" t="str">
        <f t="shared" si="18"/>
        <v>Y</v>
      </c>
      <c r="N263" s="44">
        <f t="shared" si="19"/>
        <v>261</v>
      </c>
    </row>
    <row r="264" spans="1:14" x14ac:dyDescent="0.25">
      <c r="A264" s="44">
        <v>262</v>
      </c>
      <c r="B264" s="4">
        <v>3.5276000000000001</v>
      </c>
      <c r="C264" s="14">
        <v>71.478905999999995</v>
      </c>
      <c r="D264" s="14">
        <v>78.571819000000005</v>
      </c>
      <c r="E264" s="14">
        <v>287.52009099999998</v>
      </c>
      <c r="F264" s="14">
        <v>244.18790000000001</v>
      </c>
      <c r="G264" s="14">
        <v>64.328264000000004</v>
      </c>
      <c r="H264" s="14">
        <v>64.027628000000007</v>
      </c>
      <c r="I264" s="14">
        <v>5.1962200000000003</v>
      </c>
      <c r="J264" s="22">
        <v>1.06000000000002</v>
      </c>
      <c r="K264" s="34" t="str">
        <f t="shared" si="16"/>
        <v>010/WY</v>
      </c>
      <c r="L264" s="34" t="str">
        <f t="shared" si="17"/>
        <v>W</v>
      </c>
      <c r="M264" s="34" t="str">
        <f t="shared" si="18"/>
        <v>Y</v>
      </c>
      <c r="N264" s="44">
        <f t="shared" si="19"/>
        <v>262</v>
      </c>
    </row>
    <row r="265" spans="1:14" x14ac:dyDescent="0.25">
      <c r="A265" s="44">
        <v>263</v>
      </c>
      <c r="B265" s="4">
        <v>3.5041000000000002</v>
      </c>
      <c r="C265" s="14">
        <v>71.886335000000003</v>
      </c>
      <c r="D265" s="14">
        <v>79.216106999999994</v>
      </c>
      <c r="E265" s="14">
        <v>287.75010700000001</v>
      </c>
      <c r="F265" s="14">
        <v>246.94722300000001</v>
      </c>
      <c r="G265" s="14">
        <v>64.958680000000001</v>
      </c>
      <c r="H265" s="14">
        <v>64.527043000000006</v>
      </c>
      <c r="I265" s="14">
        <v>5.240907</v>
      </c>
      <c r="J265" s="22">
        <v>1.1099999999999901</v>
      </c>
      <c r="K265" s="34" t="str">
        <f t="shared" si="16"/>
        <v>11/WY</v>
      </c>
      <c r="L265" s="34" t="str">
        <f t="shared" si="17"/>
        <v>W</v>
      </c>
      <c r="M265" s="34" t="str">
        <f t="shared" si="18"/>
        <v>Y</v>
      </c>
      <c r="N265" s="44">
        <f t="shared" si="19"/>
        <v>263</v>
      </c>
    </row>
    <row r="266" spans="1:14" x14ac:dyDescent="0.25">
      <c r="A266" s="44">
        <v>264</v>
      </c>
      <c r="B266" s="4">
        <v>3.4767999999999999</v>
      </c>
      <c r="C266" s="14">
        <v>72.353595999999996</v>
      </c>
      <c r="D266" s="14">
        <v>80.554858999999993</v>
      </c>
      <c r="E266" s="14">
        <v>293.30368399999998</v>
      </c>
      <c r="F266" s="14">
        <v>250.97246200000001</v>
      </c>
      <c r="G266" s="14">
        <v>65.263985000000005</v>
      </c>
      <c r="H266" s="14">
        <v>64.752887000000001</v>
      </c>
      <c r="I266" s="14">
        <v>5.26187</v>
      </c>
      <c r="J266" s="22">
        <v>1.1600000000000099</v>
      </c>
      <c r="K266" s="34" t="str">
        <f t="shared" si="16"/>
        <v>012/WW</v>
      </c>
      <c r="L266" s="34" t="str">
        <f t="shared" si="17"/>
        <v>W</v>
      </c>
      <c r="M266" s="34" t="str">
        <f t="shared" si="18"/>
        <v>W</v>
      </c>
      <c r="N266" s="44">
        <f t="shared" si="19"/>
        <v>264</v>
      </c>
    </row>
    <row r="267" spans="1:14" x14ac:dyDescent="0.25">
      <c r="A267" s="44">
        <v>265</v>
      </c>
      <c r="B267" s="4">
        <v>3.2656000000000001</v>
      </c>
      <c r="C267" s="14">
        <v>72.606832999999995</v>
      </c>
      <c r="D267" s="14">
        <v>80.699856999999994</v>
      </c>
      <c r="E267" s="14">
        <v>294.74087200000002</v>
      </c>
      <c r="F267" s="14">
        <v>249.99366900000001</v>
      </c>
      <c r="G267" s="14">
        <v>65.681674000000001</v>
      </c>
      <c r="H267" s="14">
        <v>65.089601999999999</v>
      </c>
      <c r="I267" s="14">
        <v>5.2902839999999998</v>
      </c>
      <c r="J267" s="22">
        <v>1.1099999999999901</v>
      </c>
      <c r="K267" s="34" t="str">
        <f t="shared" si="16"/>
        <v>01/WW</v>
      </c>
      <c r="L267" s="34" t="str">
        <f t="shared" si="17"/>
        <v>W</v>
      </c>
      <c r="M267" s="34" t="str">
        <f t="shared" si="18"/>
        <v>W</v>
      </c>
      <c r="N267" s="44">
        <f t="shared" si="19"/>
        <v>265</v>
      </c>
    </row>
    <row r="268" spans="1:14" x14ac:dyDescent="0.25">
      <c r="A268" s="44">
        <v>266</v>
      </c>
      <c r="B268" s="4">
        <v>3.1671999999999998</v>
      </c>
      <c r="C268" s="14">
        <v>72.686700000000002</v>
      </c>
      <c r="D268" s="14">
        <v>80.820905999999994</v>
      </c>
      <c r="E268" s="14">
        <v>295.59562</v>
      </c>
      <c r="F268" s="14">
        <v>251.06864100000001</v>
      </c>
      <c r="G268" s="14">
        <v>65.885287000000005</v>
      </c>
      <c r="H268" s="14">
        <v>65.375996000000001</v>
      </c>
      <c r="I268" s="14">
        <v>5.3140900000000002</v>
      </c>
      <c r="J268" s="22">
        <v>1.22</v>
      </c>
      <c r="K268" s="34" t="str">
        <f t="shared" si="16"/>
        <v>02/WW</v>
      </c>
      <c r="L268" s="34" t="str">
        <f t="shared" si="17"/>
        <v>W</v>
      </c>
      <c r="M268" s="34" t="str">
        <f t="shared" si="18"/>
        <v>W</v>
      </c>
      <c r="N268" s="44">
        <f t="shared" si="19"/>
        <v>266</v>
      </c>
    </row>
    <row r="269" spans="1:14" x14ac:dyDescent="0.25">
      <c r="A269" s="44">
        <v>267</v>
      </c>
      <c r="B269" s="4">
        <v>3.3325999999999998</v>
      </c>
      <c r="C269" s="14">
        <v>72.584937999999994</v>
      </c>
      <c r="D269" s="14">
        <v>80.982546999999997</v>
      </c>
      <c r="E269" s="14">
        <v>296.57108499999998</v>
      </c>
      <c r="F269" s="14">
        <v>251.14396099999999</v>
      </c>
      <c r="G269" s="14">
        <v>65.937995000000001</v>
      </c>
      <c r="H269" s="14">
        <v>65.428296000000003</v>
      </c>
      <c r="I269" s="14">
        <v>5.3263119999999997</v>
      </c>
      <c r="J269" s="22">
        <v>1.1100000000000301</v>
      </c>
      <c r="K269" s="34" t="str">
        <f t="shared" si="16"/>
        <v>03/WW</v>
      </c>
      <c r="L269" s="34" t="str">
        <f t="shared" si="17"/>
        <v>W</v>
      </c>
      <c r="M269" s="34" t="str">
        <f t="shared" si="18"/>
        <v>W</v>
      </c>
      <c r="N269" s="44">
        <f t="shared" si="19"/>
        <v>267</v>
      </c>
    </row>
    <row r="270" spans="1:14" x14ac:dyDescent="0.25">
      <c r="A270" s="44">
        <v>268</v>
      </c>
      <c r="B270" s="4">
        <v>3.1863999999999999</v>
      </c>
      <c r="C270" s="14">
        <v>72.780917000000002</v>
      </c>
      <c r="D270" s="14">
        <v>81.112119000000007</v>
      </c>
      <c r="E270" s="14">
        <v>297.19388400000003</v>
      </c>
      <c r="F270" s="14">
        <v>251.470448</v>
      </c>
      <c r="G270" s="14">
        <v>66.050089</v>
      </c>
      <c r="H270" s="14">
        <v>65.598409000000004</v>
      </c>
      <c r="I270" s="14">
        <v>5.3364310000000001</v>
      </c>
      <c r="J270" s="22">
        <v>1.05</v>
      </c>
      <c r="K270" s="34" t="str">
        <f t="shared" si="16"/>
        <v>04/WW</v>
      </c>
      <c r="L270" s="34" t="str">
        <f t="shared" si="17"/>
        <v>W</v>
      </c>
      <c r="M270" s="34" t="str">
        <f t="shared" si="18"/>
        <v>W</v>
      </c>
      <c r="N270" s="44">
        <f t="shared" si="19"/>
        <v>268</v>
      </c>
    </row>
    <row r="271" spans="1:14" x14ac:dyDescent="0.25">
      <c r="A271" s="44">
        <v>269</v>
      </c>
      <c r="B271" s="4">
        <v>3.4445999999999999</v>
      </c>
      <c r="C271" s="14">
        <v>72.890088000000006</v>
      </c>
      <c r="D271" s="14">
        <v>81.087784999999997</v>
      </c>
      <c r="E271" s="14">
        <v>297.66939400000001</v>
      </c>
      <c r="F271" s="14">
        <v>251.596183</v>
      </c>
      <c r="G271" s="14">
        <v>66.096323999999996</v>
      </c>
      <c r="H271" s="14">
        <v>65.716486000000003</v>
      </c>
      <c r="I271" s="14">
        <v>5.3503049999999996</v>
      </c>
      <c r="J271" s="22">
        <v>1.0399999999999701</v>
      </c>
      <c r="K271" s="34" t="str">
        <f t="shared" si="16"/>
        <v>05/WW</v>
      </c>
      <c r="L271" s="34" t="str">
        <f t="shared" si="17"/>
        <v>W</v>
      </c>
      <c r="M271" s="34" t="str">
        <f t="shared" si="18"/>
        <v>W</v>
      </c>
      <c r="N271" s="44">
        <f t="shared" si="19"/>
        <v>269</v>
      </c>
    </row>
    <row r="272" spans="1:14" x14ac:dyDescent="0.25">
      <c r="A272" s="44">
        <v>270</v>
      </c>
      <c r="B272" s="4">
        <v>3.383</v>
      </c>
      <c r="C272" s="14">
        <v>73.414895999999999</v>
      </c>
      <c r="D272" s="14">
        <v>81.525659000000005</v>
      </c>
      <c r="E272" s="14">
        <v>298.68146899999999</v>
      </c>
      <c r="F272" s="14">
        <v>253.68443099999999</v>
      </c>
      <c r="G272" s="14">
        <v>66.188857999999996</v>
      </c>
      <c r="H272" s="14">
        <v>65.913634999999999</v>
      </c>
      <c r="I272" s="14">
        <v>5.3604700000000003</v>
      </c>
      <c r="J272" s="22">
        <v>1.1200000000000101</v>
      </c>
      <c r="K272" s="34" t="str">
        <f t="shared" si="16"/>
        <v>06/WW</v>
      </c>
      <c r="L272" s="34" t="str">
        <f t="shared" si="17"/>
        <v>W</v>
      </c>
      <c r="M272" s="34" t="str">
        <f t="shared" si="18"/>
        <v>W</v>
      </c>
      <c r="N272" s="44">
        <f t="shared" si="19"/>
        <v>270</v>
      </c>
    </row>
    <row r="273" spans="1:14" x14ac:dyDescent="0.25">
      <c r="A273" s="44">
        <v>271</v>
      </c>
      <c r="B273" s="4">
        <v>3.383</v>
      </c>
      <c r="C273" s="14">
        <v>73.649822999999998</v>
      </c>
      <c r="D273" s="14">
        <v>82.047422999999995</v>
      </c>
      <c r="E273" s="14">
        <v>299.90606300000002</v>
      </c>
      <c r="F273" s="14">
        <v>254.775274</v>
      </c>
      <c r="G273" s="14">
        <v>66.466851000000005</v>
      </c>
      <c r="H273" s="14">
        <v>66.164106000000004</v>
      </c>
      <c r="I273" s="14">
        <v>5.3770870000000004</v>
      </c>
      <c r="J273" s="22">
        <v>1.0899999999999901</v>
      </c>
      <c r="K273" s="34" t="str">
        <f t="shared" si="16"/>
        <v>07/WW</v>
      </c>
      <c r="L273" s="34" t="str">
        <f t="shared" si="17"/>
        <v>W</v>
      </c>
      <c r="M273" s="34" t="str">
        <f t="shared" si="18"/>
        <v>W</v>
      </c>
      <c r="N273" s="44">
        <f t="shared" si="19"/>
        <v>271</v>
      </c>
    </row>
    <row r="274" spans="1:14" x14ac:dyDescent="0.25">
      <c r="A274" s="44">
        <v>272</v>
      </c>
      <c r="B274" s="4">
        <v>3.2033999999999998</v>
      </c>
      <c r="C274" s="14">
        <v>73.590902999999997</v>
      </c>
      <c r="D274" s="14">
        <v>82.113060000000004</v>
      </c>
      <c r="E274" s="14">
        <v>301.85545200000001</v>
      </c>
      <c r="F274" s="14">
        <v>254.92813899999999</v>
      </c>
      <c r="G274" s="14">
        <v>66.626371000000006</v>
      </c>
      <c r="H274" s="14">
        <v>66.382446999999999</v>
      </c>
      <c r="I274" s="14">
        <v>5.406123</v>
      </c>
      <c r="J274" s="22">
        <v>0.87000000000001498</v>
      </c>
      <c r="K274" s="34" t="str">
        <f t="shared" si="16"/>
        <v>08/WW</v>
      </c>
      <c r="L274" s="34" t="str">
        <f t="shared" si="17"/>
        <v>W</v>
      </c>
      <c r="M274" s="34" t="str">
        <f t="shared" si="18"/>
        <v>W</v>
      </c>
      <c r="N274" s="44">
        <f t="shared" si="19"/>
        <v>272</v>
      </c>
    </row>
    <row r="275" spans="1:14" x14ac:dyDescent="0.25">
      <c r="A275" s="44">
        <v>273</v>
      </c>
      <c r="B275" s="4">
        <v>3.0779000000000001</v>
      </c>
      <c r="C275" s="14">
        <v>73.693929999999995</v>
      </c>
      <c r="D275" s="14">
        <v>82.121270999999993</v>
      </c>
      <c r="E275" s="14">
        <v>302.33841999999999</v>
      </c>
      <c r="F275" s="14">
        <v>253.95941199999999</v>
      </c>
      <c r="G275" s="14">
        <v>66.839574999999996</v>
      </c>
      <c r="H275" s="14">
        <v>66.548402999999993</v>
      </c>
      <c r="I275" s="14">
        <v>5.4142320000000002</v>
      </c>
      <c r="J275" s="22">
        <v>1.05</v>
      </c>
      <c r="K275" s="34" t="str">
        <f t="shared" si="16"/>
        <v>09/WW</v>
      </c>
      <c r="L275" s="34" t="str">
        <f t="shared" si="17"/>
        <v>W</v>
      </c>
      <c r="M275" s="34" t="str">
        <f t="shared" si="18"/>
        <v>W</v>
      </c>
      <c r="N275" s="44">
        <f t="shared" si="19"/>
        <v>273</v>
      </c>
    </row>
    <row r="276" spans="1:14" x14ac:dyDescent="0.25">
      <c r="A276" s="44">
        <v>274</v>
      </c>
      <c r="B276" s="4">
        <v>3.1629</v>
      </c>
      <c r="C276" s="14">
        <v>74.143462</v>
      </c>
      <c r="D276" s="14">
        <v>81.217937000000006</v>
      </c>
      <c r="E276" s="14">
        <v>302.27795200000003</v>
      </c>
      <c r="F276" s="14">
        <v>250.810315</v>
      </c>
      <c r="G276" s="14">
        <v>66.893045999999998</v>
      </c>
      <c r="H276" s="14">
        <v>66.641570000000002</v>
      </c>
      <c r="I276" s="14">
        <v>5.4256010000000003</v>
      </c>
      <c r="J276" s="22">
        <v>0.78999999999998005</v>
      </c>
      <c r="K276" s="34" t="str">
        <f t="shared" si="16"/>
        <v>010/WW</v>
      </c>
      <c r="L276" s="34" t="str">
        <f t="shared" si="17"/>
        <v>W</v>
      </c>
      <c r="M276" s="34" t="str">
        <f t="shared" si="18"/>
        <v>W</v>
      </c>
      <c r="N276" s="44">
        <f t="shared" si="19"/>
        <v>274</v>
      </c>
    </row>
    <row r="277" spans="1:14" x14ac:dyDescent="0.25">
      <c r="A277" s="44">
        <v>275</v>
      </c>
      <c r="B277" s="4">
        <v>3.1269</v>
      </c>
      <c r="C277" s="14">
        <v>74.106390000000005</v>
      </c>
      <c r="D277" s="14">
        <v>80.462609999999998</v>
      </c>
      <c r="E277" s="14">
        <v>304.18230299999999</v>
      </c>
      <c r="F277" s="14">
        <v>249.531182</v>
      </c>
      <c r="G277" s="14">
        <v>67.133859999999999</v>
      </c>
      <c r="H277" s="14">
        <v>66.848157999999998</v>
      </c>
      <c r="I277" s="14">
        <v>5.4386219999999996</v>
      </c>
      <c r="J277" s="22">
        <v>0.93000000000000904</v>
      </c>
      <c r="K277" s="34" t="str">
        <f t="shared" si="16"/>
        <v>11/WW</v>
      </c>
      <c r="L277" s="34" t="str">
        <f t="shared" si="17"/>
        <v>W</v>
      </c>
      <c r="M277" s="34" t="str">
        <f t="shared" si="18"/>
        <v>W</v>
      </c>
      <c r="N277" s="44">
        <f t="shared" si="19"/>
        <v>275</v>
      </c>
    </row>
    <row r="278" spans="1:14" x14ac:dyDescent="0.25">
      <c r="A278" s="44">
        <v>276</v>
      </c>
      <c r="B278" s="4">
        <v>3.1011000000000002</v>
      </c>
      <c r="C278" s="14">
        <v>74.143443000000005</v>
      </c>
      <c r="D278" s="14">
        <v>79.923509999999993</v>
      </c>
      <c r="E278" s="14">
        <v>307.01119799999998</v>
      </c>
      <c r="F278" s="14">
        <v>247.135682</v>
      </c>
      <c r="G278" s="14">
        <v>66.932457999999997</v>
      </c>
      <c r="H278" s="14">
        <v>66.694406999999998</v>
      </c>
      <c r="I278" s="14">
        <v>5.4473229999999999</v>
      </c>
      <c r="J278" s="22">
        <v>0.81000000000002204</v>
      </c>
      <c r="K278" s="34" t="str">
        <f t="shared" si="16"/>
        <v>012/WZ</v>
      </c>
      <c r="L278" s="34" t="str">
        <f t="shared" si="17"/>
        <v>W</v>
      </c>
      <c r="M278" s="34" t="str">
        <f t="shared" si="18"/>
        <v>Z</v>
      </c>
      <c r="N278" s="44">
        <f t="shared" si="19"/>
        <v>276</v>
      </c>
    </row>
    <row r="279" spans="1:14" x14ac:dyDescent="0.25">
      <c r="A279" s="44">
        <v>277</v>
      </c>
      <c r="B279" s="4">
        <v>3.2835999999999999</v>
      </c>
      <c r="C279" s="14">
        <v>74.136027999999996</v>
      </c>
      <c r="D279" s="14">
        <v>79.348060000000004</v>
      </c>
      <c r="E279" s="14">
        <v>307.932231</v>
      </c>
      <c r="F279" s="14">
        <v>246.394274</v>
      </c>
      <c r="G279" s="14">
        <v>67.046243000000004</v>
      </c>
      <c r="H279" s="14">
        <v>66.854472999999999</v>
      </c>
      <c r="I279" s="14">
        <v>5.4375169999999997</v>
      </c>
      <c r="J279" s="22">
        <v>0.80000000000000104</v>
      </c>
      <c r="K279" s="34" t="str">
        <f t="shared" si="16"/>
        <v>01/WZ</v>
      </c>
      <c r="L279" s="34" t="str">
        <f t="shared" si="17"/>
        <v>W</v>
      </c>
      <c r="M279" s="34" t="str">
        <f t="shared" si="18"/>
        <v>Z</v>
      </c>
      <c r="N279" s="44">
        <f t="shared" si="19"/>
        <v>277</v>
      </c>
    </row>
    <row r="280" spans="1:14" x14ac:dyDescent="0.25">
      <c r="A280" s="44">
        <v>278</v>
      </c>
      <c r="B280" s="4">
        <v>3.1899000000000002</v>
      </c>
      <c r="C280" s="14">
        <v>74.210164000000006</v>
      </c>
      <c r="D280" s="14">
        <v>79.427408</v>
      </c>
      <c r="E280" s="14">
        <v>309.04078700000002</v>
      </c>
      <c r="F280" s="14">
        <v>246.98562000000001</v>
      </c>
      <c r="G280" s="14">
        <v>67.026128999999997</v>
      </c>
      <c r="H280" s="14">
        <v>66.981496000000007</v>
      </c>
      <c r="I280" s="14">
        <v>5.4565479999999997</v>
      </c>
      <c r="J280" s="22">
        <v>0.80000000000000104</v>
      </c>
      <c r="K280" s="34" t="str">
        <f t="shared" si="16"/>
        <v>02/WZ</v>
      </c>
      <c r="L280" s="34" t="str">
        <f t="shared" si="17"/>
        <v>W</v>
      </c>
      <c r="M280" s="34" t="str">
        <f t="shared" si="18"/>
        <v>Z</v>
      </c>
      <c r="N280" s="44">
        <f t="shared" si="19"/>
        <v>278</v>
      </c>
    </row>
    <row r="281" spans="1:14" x14ac:dyDescent="0.25">
      <c r="A281" s="44">
        <v>279</v>
      </c>
      <c r="B281" s="4">
        <v>3.1976</v>
      </c>
      <c r="C281" s="14">
        <v>74.225005999999993</v>
      </c>
      <c r="D281" s="14">
        <v>79.800715999999994</v>
      </c>
      <c r="E281" s="14">
        <v>309.22621099999998</v>
      </c>
      <c r="F281" s="14">
        <v>248.51693</v>
      </c>
      <c r="G281" s="14">
        <v>67.012722999999994</v>
      </c>
      <c r="H281" s="14">
        <v>67.088666000000003</v>
      </c>
      <c r="I281" s="14">
        <v>5.4625500000000002</v>
      </c>
      <c r="J281" s="22">
        <v>0.63999999999997403</v>
      </c>
      <c r="K281" s="34" t="str">
        <f t="shared" si="16"/>
        <v>03/WZ</v>
      </c>
      <c r="L281" s="34" t="str">
        <f t="shared" si="17"/>
        <v>W</v>
      </c>
      <c r="M281" s="34" t="str">
        <f t="shared" si="18"/>
        <v>Z</v>
      </c>
      <c r="N281" s="44">
        <f t="shared" si="19"/>
        <v>279</v>
      </c>
    </row>
    <row r="282" spans="1:14" x14ac:dyDescent="0.25">
      <c r="A282" s="44">
        <v>280</v>
      </c>
      <c r="B282" s="4">
        <v>3.1255000000000002</v>
      </c>
      <c r="C282" s="14">
        <v>74.462525999999997</v>
      </c>
      <c r="D282" s="14">
        <v>79.960317000000003</v>
      </c>
      <c r="E282" s="14">
        <v>310.18481200000002</v>
      </c>
      <c r="F282" s="14">
        <v>248.765446</v>
      </c>
      <c r="G282" s="14">
        <v>67.260670000000005</v>
      </c>
      <c r="H282" s="14">
        <v>67.370437999999993</v>
      </c>
      <c r="I282" s="14">
        <v>5.481122</v>
      </c>
      <c r="J282" s="22">
        <v>0.640000000000018</v>
      </c>
      <c r="K282" s="34" t="str">
        <f t="shared" si="16"/>
        <v>04/WZ</v>
      </c>
      <c r="L282" s="34" t="str">
        <f t="shared" si="17"/>
        <v>W</v>
      </c>
      <c r="M282" s="34" t="str">
        <f t="shared" si="18"/>
        <v>Z</v>
      </c>
      <c r="N282" s="44">
        <f t="shared" si="19"/>
        <v>280</v>
      </c>
    </row>
    <row r="283" spans="1:14" x14ac:dyDescent="0.25">
      <c r="A283" s="44">
        <v>281</v>
      </c>
      <c r="B283" s="4">
        <v>3.1572</v>
      </c>
      <c r="C283" s="14">
        <v>74.678466999999998</v>
      </c>
      <c r="D283" s="14">
        <v>80.376109999999997</v>
      </c>
      <c r="E283" s="14">
        <v>311.14638400000001</v>
      </c>
      <c r="F283" s="14">
        <v>250.75556900000001</v>
      </c>
      <c r="G283" s="14">
        <v>67.381738999999996</v>
      </c>
      <c r="H283" s="14">
        <v>67.559075000000007</v>
      </c>
      <c r="I283" s="14">
        <v>5.4986610000000002</v>
      </c>
      <c r="J283" s="22">
        <v>0.57000000000000395</v>
      </c>
      <c r="K283" s="34" t="str">
        <f t="shared" si="16"/>
        <v>05/WZ</v>
      </c>
      <c r="L283" s="34" t="str">
        <f t="shared" si="17"/>
        <v>W</v>
      </c>
      <c r="M283" s="34" t="str">
        <f t="shared" si="18"/>
        <v>Z</v>
      </c>
      <c r="N283" s="44">
        <f t="shared" si="19"/>
        <v>281</v>
      </c>
    </row>
    <row r="284" spans="1:14" x14ac:dyDescent="0.25">
      <c r="A284" s="44">
        <v>282</v>
      </c>
      <c r="B284" s="4">
        <v>3.2833999999999999</v>
      </c>
      <c r="C284" s="14">
        <v>75.089197999999996</v>
      </c>
      <c r="D284" s="14">
        <v>81.091457000000005</v>
      </c>
      <c r="E284" s="14">
        <v>311.36418600000002</v>
      </c>
      <c r="F284" s="14">
        <v>252.61116000000001</v>
      </c>
      <c r="G284" s="14">
        <v>67.556931000000006</v>
      </c>
      <c r="H284" s="14">
        <v>67.856334000000004</v>
      </c>
      <c r="I284" s="14">
        <v>5.517906</v>
      </c>
      <c r="J284" s="22">
        <v>0.53999999999998505</v>
      </c>
      <c r="K284" s="34" t="str">
        <f t="shared" si="16"/>
        <v>06/WZ</v>
      </c>
      <c r="L284" s="34" t="str">
        <f t="shared" si="17"/>
        <v>W</v>
      </c>
      <c r="M284" s="34" t="str">
        <f t="shared" si="18"/>
        <v>Z</v>
      </c>
      <c r="N284" s="44">
        <f t="shared" si="19"/>
        <v>282</v>
      </c>
    </row>
    <row r="285" spans="1:14" x14ac:dyDescent="0.25">
      <c r="A285" s="44">
        <v>283</v>
      </c>
      <c r="B285" s="4">
        <v>3.3182</v>
      </c>
      <c r="C285" s="14">
        <v>75.434607999999997</v>
      </c>
      <c r="D285" s="14">
        <v>81.707751999999999</v>
      </c>
      <c r="E285" s="14">
        <v>312.32941399999999</v>
      </c>
      <c r="F285" s="14">
        <v>254.07630399999999</v>
      </c>
      <c r="G285" s="14">
        <v>67.712311</v>
      </c>
      <c r="H285" s="14">
        <v>68.053117</v>
      </c>
      <c r="I285" s="14">
        <v>5.5394249999999996</v>
      </c>
      <c r="J285" s="22">
        <v>0.58000000000002505</v>
      </c>
      <c r="K285" s="34" t="str">
        <f t="shared" si="16"/>
        <v>07/WZ</v>
      </c>
      <c r="L285" s="34" t="str">
        <f t="shared" si="17"/>
        <v>W</v>
      </c>
      <c r="M285" s="34" t="str">
        <f t="shared" si="18"/>
        <v>Z</v>
      </c>
      <c r="N285" s="44">
        <f t="shared" si="19"/>
        <v>283</v>
      </c>
    </row>
    <row r="286" spans="1:14" x14ac:dyDescent="0.25">
      <c r="A286" s="44">
        <v>284</v>
      </c>
      <c r="B286" s="4">
        <v>3.1962999999999999</v>
      </c>
      <c r="C286" s="14">
        <v>75.117782000000005</v>
      </c>
      <c r="D286" s="14">
        <v>81.764947000000006</v>
      </c>
      <c r="E286" s="14">
        <v>312.73544199999998</v>
      </c>
      <c r="F286" s="14">
        <v>254.45741799999999</v>
      </c>
      <c r="G286" s="14">
        <v>67.834192999999999</v>
      </c>
      <c r="H286" s="14">
        <v>68.270886000000004</v>
      </c>
      <c r="I286" s="14">
        <v>5.5604740000000001</v>
      </c>
      <c r="J286" s="22">
        <v>0.46999999999997</v>
      </c>
      <c r="K286" s="34" t="str">
        <f t="shared" si="16"/>
        <v>08/WZ</v>
      </c>
      <c r="L286" s="34" t="str">
        <f t="shared" si="17"/>
        <v>W</v>
      </c>
      <c r="M286" s="34" t="str">
        <f t="shared" si="18"/>
        <v>Z</v>
      </c>
      <c r="N286" s="44">
        <f t="shared" si="19"/>
        <v>284</v>
      </c>
    </row>
    <row r="287" spans="1:14" x14ac:dyDescent="0.25">
      <c r="A287" s="44">
        <v>285</v>
      </c>
      <c r="B287" s="4">
        <v>3.2208000000000001</v>
      </c>
      <c r="C287" s="14">
        <v>75.117782000000005</v>
      </c>
      <c r="D287" s="14">
        <v>82.288241999999997</v>
      </c>
      <c r="E287" s="14">
        <v>313.48600699999997</v>
      </c>
      <c r="F287" s="14">
        <v>255.88237899999999</v>
      </c>
      <c r="G287" s="14">
        <v>67.881675999999999</v>
      </c>
      <c r="H287" s="14">
        <v>68.332329000000001</v>
      </c>
      <c r="I287" s="14">
        <v>5.5660340000000001</v>
      </c>
      <c r="J287" s="22">
        <v>0.53000000000000802</v>
      </c>
      <c r="K287" s="34" t="str">
        <f t="shared" si="16"/>
        <v>09/WZ</v>
      </c>
      <c r="L287" s="34" t="str">
        <f t="shared" si="17"/>
        <v>W</v>
      </c>
      <c r="M287" s="34" t="str">
        <f t="shared" si="18"/>
        <v>Z</v>
      </c>
      <c r="N287" s="44">
        <f t="shared" si="19"/>
        <v>285</v>
      </c>
    </row>
    <row r="288" spans="1:14" x14ac:dyDescent="0.25">
      <c r="A288" s="44">
        <v>286</v>
      </c>
      <c r="B288" s="4">
        <v>3.2858999999999998</v>
      </c>
      <c r="C288" s="14">
        <v>75.095246000000003</v>
      </c>
      <c r="D288" s="14">
        <v>82.757283999999999</v>
      </c>
      <c r="E288" s="14">
        <v>314.39511599999997</v>
      </c>
      <c r="F288" s="14">
        <v>258.26208500000001</v>
      </c>
      <c r="G288" s="14">
        <v>68.024226999999996</v>
      </c>
      <c r="H288" s="14">
        <v>68.482659999999996</v>
      </c>
      <c r="I288" s="14">
        <v>5.5777219999999996</v>
      </c>
      <c r="J288" s="22">
        <v>0.51999999999998703</v>
      </c>
      <c r="K288" s="34" t="str">
        <f t="shared" si="16"/>
        <v>010/WZ</v>
      </c>
      <c r="L288" s="34" t="str">
        <f t="shared" si="17"/>
        <v>W</v>
      </c>
      <c r="M288" s="34" t="str">
        <f t="shared" si="18"/>
        <v>Z</v>
      </c>
      <c r="N288" s="44">
        <f t="shared" si="19"/>
        <v>286</v>
      </c>
    </row>
    <row r="289" spans="1:14" x14ac:dyDescent="0.25">
      <c r="A289" s="44">
        <v>287</v>
      </c>
      <c r="B289" s="4">
        <v>3.4104999999999999</v>
      </c>
      <c r="C289" s="14">
        <v>75.237926000000002</v>
      </c>
      <c r="D289" s="14">
        <v>83.899333999999996</v>
      </c>
      <c r="E289" s="14">
        <v>315.118224</v>
      </c>
      <c r="F289" s="14">
        <v>262.49758300000002</v>
      </c>
      <c r="G289" s="14">
        <v>68.316731000000004</v>
      </c>
      <c r="H289" s="14">
        <v>68.756590000000003</v>
      </c>
      <c r="I289" s="14">
        <v>5.5855300000000003</v>
      </c>
      <c r="J289" s="22">
        <v>0.52000000000003199</v>
      </c>
      <c r="K289" s="34" t="str">
        <f t="shared" si="16"/>
        <v>11/WZ</v>
      </c>
      <c r="L289" s="34" t="str">
        <f t="shared" si="17"/>
        <v>W</v>
      </c>
      <c r="M289" s="34" t="str">
        <f t="shared" si="18"/>
        <v>Z</v>
      </c>
      <c r="N289" s="44">
        <f t="shared" si="19"/>
        <v>287</v>
      </c>
    </row>
    <row r="290" spans="1:14" x14ac:dyDescent="0.25">
      <c r="A290" s="44">
        <v>288</v>
      </c>
      <c r="B290" s="4">
        <v>3.6753</v>
      </c>
      <c r="C290" s="14">
        <v>75.997828999999996</v>
      </c>
      <c r="D290" s="14">
        <v>85.468250999999995</v>
      </c>
      <c r="E290" s="14">
        <v>318.17487</v>
      </c>
      <c r="F290" s="14">
        <v>266.38254699999999</v>
      </c>
      <c r="G290" s="14">
        <v>69.293660000000003</v>
      </c>
      <c r="H290" s="14">
        <v>69.622923</v>
      </c>
      <c r="I290" s="14">
        <v>5.6475289999999996</v>
      </c>
      <c r="J290" s="22">
        <v>0.51999999999998703</v>
      </c>
      <c r="K290" s="34" t="str">
        <f t="shared" si="16"/>
        <v>012/WS</v>
      </c>
      <c r="L290" s="34" t="str">
        <f t="shared" si="17"/>
        <v>W</v>
      </c>
      <c r="M290" s="34" t="str">
        <f t="shared" si="18"/>
        <v>S</v>
      </c>
      <c r="N290" s="44">
        <f t="shared" si="19"/>
        <v>288</v>
      </c>
    </row>
    <row r="291" spans="1:14" x14ac:dyDescent="0.25">
      <c r="A291" s="44">
        <v>289</v>
      </c>
      <c r="B291" s="4">
        <v>3.7738</v>
      </c>
      <c r="C291" s="14">
        <v>76.172623999999999</v>
      </c>
      <c r="D291" s="14">
        <v>85.904139000000001</v>
      </c>
      <c r="E291" s="14">
        <v>320.11573600000003</v>
      </c>
      <c r="F291" s="14">
        <v>267.55462999999997</v>
      </c>
      <c r="G291" s="14">
        <v>69.466893999999996</v>
      </c>
      <c r="H291" s="14">
        <v>69.852677999999997</v>
      </c>
      <c r="I291" s="14">
        <v>5.6836729999999998</v>
      </c>
      <c r="J291" s="22">
        <v>0.53999999999998505</v>
      </c>
      <c r="K291" s="34" t="str">
        <f t="shared" si="16"/>
        <v>01/WS</v>
      </c>
      <c r="L291" s="34" t="str">
        <f t="shared" si="17"/>
        <v>W</v>
      </c>
      <c r="M291" s="34" t="str">
        <f t="shared" si="18"/>
        <v>S</v>
      </c>
      <c r="N291" s="44">
        <f t="shared" si="19"/>
        <v>289</v>
      </c>
    </row>
    <row r="292" spans="1:14" x14ac:dyDescent="0.25">
      <c r="A292" s="44">
        <v>290</v>
      </c>
      <c r="B292" s="4">
        <v>3.8744999999999998</v>
      </c>
      <c r="C292" s="14">
        <v>76.484931000000003</v>
      </c>
      <c r="D292" s="14">
        <v>86.505466999999996</v>
      </c>
      <c r="E292" s="14">
        <v>320.59590900000001</v>
      </c>
      <c r="F292" s="14">
        <v>269.37400100000002</v>
      </c>
      <c r="G292" s="14">
        <v>69.466893999999996</v>
      </c>
      <c r="H292" s="14">
        <v>69.789810000000003</v>
      </c>
      <c r="I292" s="14">
        <v>5.6910610000000004</v>
      </c>
      <c r="J292" s="22">
        <v>0.57000000000000395</v>
      </c>
      <c r="K292" s="34" t="str">
        <f t="shared" si="16"/>
        <v>02/WS</v>
      </c>
      <c r="L292" s="34" t="str">
        <f t="shared" si="17"/>
        <v>W</v>
      </c>
      <c r="M292" s="34" t="str">
        <f t="shared" si="18"/>
        <v>S</v>
      </c>
      <c r="N292" s="44">
        <f t="shared" si="19"/>
        <v>290</v>
      </c>
    </row>
    <row r="293" spans="1:14" x14ac:dyDescent="0.25">
      <c r="A293" s="44">
        <v>291</v>
      </c>
      <c r="B293" s="4">
        <v>3.9134000000000002</v>
      </c>
      <c r="C293" s="14">
        <v>76.783221999999995</v>
      </c>
      <c r="D293" s="14">
        <v>87.820350000000005</v>
      </c>
      <c r="E293" s="14">
        <v>321.333279</v>
      </c>
      <c r="F293" s="14">
        <v>274.19579499999998</v>
      </c>
      <c r="G293" s="14">
        <v>69.675293999999994</v>
      </c>
      <c r="H293" s="14">
        <v>70.124801000000005</v>
      </c>
      <c r="I293" s="14">
        <v>5.6961820000000003</v>
      </c>
      <c r="J293" s="22">
        <v>0.47000000000001502</v>
      </c>
      <c r="K293" s="34" t="str">
        <f t="shared" si="16"/>
        <v>03/WS</v>
      </c>
      <c r="L293" s="34" t="str">
        <f t="shared" si="17"/>
        <v>W</v>
      </c>
      <c r="M293" s="34" t="str">
        <f t="shared" si="18"/>
        <v>S</v>
      </c>
      <c r="N293" s="44">
        <f t="shared" si="19"/>
        <v>291</v>
      </c>
    </row>
    <row r="294" spans="1:14" x14ac:dyDescent="0.25">
      <c r="A294" s="44">
        <v>292</v>
      </c>
      <c r="B294" s="4">
        <v>4.1879</v>
      </c>
      <c r="C294" s="14">
        <v>77.151781</v>
      </c>
      <c r="D294" s="14">
        <v>88.601951</v>
      </c>
      <c r="E294" s="14">
        <v>322.457945</v>
      </c>
      <c r="F294" s="14">
        <v>274.908704</v>
      </c>
      <c r="G294" s="14">
        <v>69.953995000000006</v>
      </c>
      <c r="H294" s="14">
        <v>70.440361999999993</v>
      </c>
      <c r="I294" s="14">
        <v>5.7292189999999996</v>
      </c>
      <c r="J294" s="22">
        <v>0.53999999999998505</v>
      </c>
      <c r="K294" s="34" t="str">
        <f t="shared" si="16"/>
        <v>04/WS</v>
      </c>
      <c r="L294" s="34" t="str">
        <f t="shared" si="17"/>
        <v>W</v>
      </c>
      <c r="M294" s="34" t="str">
        <f t="shared" si="18"/>
        <v>S</v>
      </c>
      <c r="N294" s="44">
        <f t="shared" si="19"/>
        <v>292</v>
      </c>
    </row>
    <row r="295" spans="1:14" x14ac:dyDescent="0.25">
      <c r="A295" s="44">
        <v>293</v>
      </c>
      <c r="B295" s="4">
        <v>3.7332000000000001</v>
      </c>
      <c r="C295" s="14">
        <v>77.267508000000007</v>
      </c>
      <c r="D295" s="14">
        <v>88.167800999999997</v>
      </c>
      <c r="E295" s="14">
        <v>322.87714</v>
      </c>
      <c r="F295" s="14">
        <v>271.774744</v>
      </c>
      <c r="G295" s="14">
        <v>69.779110000000003</v>
      </c>
      <c r="H295" s="14">
        <v>70.292437000000007</v>
      </c>
      <c r="I295" s="14">
        <v>5.7401039999999997</v>
      </c>
      <c r="J295" s="22">
        <v>0.49000000000001298</v>
      </c>
      <c r="K295" s="34" t="str">
        <f t="shared" si="16"/>
        <v>05/WS</v>
      </c>
      <c r="L295" s="34" t="str">
        <f t="shared" si="17"/>
        <v>W</v>
      </c>
      <c r="M295" s="34" t="str">
        <f t="shared" si="18"/>
        <v>S</v>
      </c>
      <c r="N295" s="44">
        <f t="shared" si="19"/>
        <v>293</v>
      </c>
    </row>
    <row r="296" spans="1:14" x14ac:dyDescent="0.25">
      <c r="A296" s="44">
        <v>294</v>
      </c>
      <c r="B296" s="4">
        <v>3.7924000000000002</v>
      </c>
      <c r="C296" s="14">
        <v>77.337047999999996</v>
      </c>
      <c r="D296" s="14">
        <v>87.215587999999997</v>
      </c>
      <c r="E296" s="14">
        <v>323.29687999999999</v>
      </c>
      <c r="F296" s="14">
        <v>270.55175700000001</v>
      </c>
      <c r="G296" s="14">
        <v>69.876800000000003</v>
      </c>
      <c r="H296" s="14">
        <v>70.397874999999999</v>
      </c>
      <c r="I296" s="14">
        <v>5.7309190000000001</v>
      </c>
      <c r="J296" s="22">
        <v>0.49000000000001298</v>
      </c>
      <c r="K296" s="34" t="str">
        <f t="shared" si="16"/>
        <v>06/WS</v>
      </c>
      <c r="L296" s="34" t="str">
        <f t="shared" si="17"/>
        <v>W</v>
      </c>
      <c r="M296" s="34" t="str">
        <f t="shared" si="18"/>
        <v>S</v>
      </c>
      <c r="N296" s="44">
        <f t="shared" si="19"/>
        <v>294</v>
      </c>
    </row>
    <row r="297" spans="1:14" x14ac:dyDescent="0.25">
      <c r="A297" s="44">
        <v>295</v>
      </c>
      <c r="B297" s="4">
        <v>3.9089999999999998</v>
      </c>
      <c r="C297" s="14">
        <v>77.785601999999997</v>
      </c>
      <c r="D297" s="14">
        <v>87.224309000000005</v>
      </c>
      <c r="E297" s="14">
        <v>324.881034</v>
      </c>
      <c r="F297" s="14">
        <v>270.74114300000002</v>
      </c>
      <c r="G297" s="14">
        <v>70.128355999999997</v>
      </c>
      <c r="H297" s="14">
        <v>70.623148</v>
      </c>
      <c r="I297" s="14">
        <v>5.7481109999999997</v>
      </c>
      <c r="J297" s="22">
        <v>0.53999999999998505</v>
      </c>
      <c r="K297" s="34" t="str">
        <f t="shared" si="16"/>
        <v>07/WS</v>
      </c>
      <c r="L297" s="34" t="str">
        <f t="shared" si="17"/>
        <v>W</v>
      </c>
      <c r="M297" s="34" t="str">
        <f t="shared" si="18"/>
        <v>S</v>
      </c>
      <c r="N297" s="44">
        <f t="shared" si="19"/>
        <v>295</v>
      </c>
    </row>
    <row r="298" spans="1:14" x14ac:dyDescent="0.25">
      <c r="A298" s="44">
        <v>296</v>
      </c>
      <c r="B298" s="4">
        <v>3.7048999999999999</v>
      </c>
      <c r="C298" s="14">
        <v>78.205644000000007</v>
      </c>
      <c r="D298" s="14">
        <v>87.991882000000004</v>
      </c>
      <c r="E298" s="14">
        <v>325.17342600000001</v>
      </c>
      <c r="F298" s="14">
        <v>274.125407</v>
      </c>
      <c r="G298" s="14">
        <v>70.507048999999995</v>
      </c>
      <c r="H298" s="14">
        <v>70.926827000000003</v>
      </c>
      <c r="I298" s="14">
        <v>5.7676540000000003</v>
      </c>
      <c r="J298" s="22">
        <v>0.49</v>
      </c>
      <c r="K298" s="34" t="str">
        <f t="shared" si="16"/>
        <v>08/WS</v>
      </c>
      <c r="L298" s="34" t="str">
        <f t="shared" si="17"/>
        <v>W</v>
      </c>
      <c r="M298" s="34" t="str">
        <f t="shared" si="18"/>
        <v>S</v>
      </c>
      <c r="N298" s="44">
        <f t="shared" si="19"/>
        <v>296</v>
      </c>
    </row>
    <row r="299" spans="1:14" x14ac:dyDescent="0.25">
      <c r="A299" s="44">
        <v>297</v>
      </c>
      <c r="B299" s="4">
        <v>3.7155</v>
      </c>
      <c r="C299" s="14">
        <v>78.604491999999993</v>
      </c>
      <c r="D299" s="14">
        <v>89.100578999999996</v>
      </c>
      <c r="E299" s="14">
        <v>326.18146300000001</v>
      </c>
      <c r="F299" s="14">
        <v>277.05854799999997</v>
      </c>
      <c r="G299" s="14">
        <v>71.049953000000002</v>
      </c>
      <c r="H299" s="14">
        <v>71.458777999999995</v>
      </c>
      <c r="I299" s="14">
        <v>5.7987989999999998</v>
      </c>
      <c r="J299" s="22">
        <v>0.47</v>
      </c>
      <c r="K299" s="34" t="str">
        <f t="shared" si="16"/>
        <v>09/WS</v>
      </c>
      <c r="L299" s="34" t="str">
        <f t="shared" si="17"/>
        <v>W</v>
      </c>
      <c r="M299" s="34" t="str">
        <f t="shared" si="18"/>
        <v>S</v>
      </c>
      <c r="N299" s="44">
        <f t="shared" si="19"/>
        <v>297</v>
      </c>
    </row>
    <row r="300" spans="1:14" x14ac:dyDescent="0.25">
      <c r="A300" s="44">
        <v>298</v>
      </c>
      <c r="B300" s="4">
        <v>3.8344</v>
      </c>
      <c r="C300" s="14">
        <v>78.832445000000007</v>
      </c>
      <c r="D300" s="14">
        <v>89.920304000000002</v>
      </c>
      <c r="E300" s="14">
        <v>327.420952</v>
      </c>
      <c r="F300" s="14">
        <v>279.552074</v>
      </c>
      <c r="G300" s="14">
        <v>71.476252000000002</v>
      </c>
      <c r="H300" s="14">
        <v>71.866093000000006</v>
      </c>
      <c r="I300" s="14">
        <v>5.8405500000000004</v>
      </c>
      <c r="J300" s="22">
        <v>0.52</v>
      </c>
      <c r="K300" s="34" t="str">
        <f t="shared" si="16"/>
        <v>010/WS</v>
      </c>
      <c r="L300" s="34" t="str">
        <f t="shared" si="17"/>
        <v>W</v>
      </c>
      <c r="M300" s="34" t="str">
        <f t="shared" si="18"/>
        <v>S</v>
      </c>
      <c r="N300" s="44">
        <f t="shared" si="19"/>
        <v>298</v>
      </c>
    </row>
    <row r="301" spans="1:14" x14ac:dyDescent="0.25">
      <c r="A301" s="44">
        <v>299</v>
      </c>
      <c r="B301" s="4">
        <v>3.8730000000000002</v>
      </c>
      <c r="C301" s="14">
        <v>78.816677999999996</v>
      </c>
      <c r="D301" s="14">
        <v>90.324945</v>
      </c>
      <c r="E301" s="14">
        <v>327.51917800000001</v>
      </c>
      <c r="F301" s="14">
        <v>280.67028199999999</v>
      </c>
      <c r="G301" s="14">
        <v>71.583466000000001</v>
      </c>
      <c r="H301" s="14">
        <v>71.959518000000003</v>
      </c>
      <c r="I301" s="14">
        <v>5.8609910000000003</v>
      </c>
      <c r="J301" s="22">
        <v>0.54</v>
      </c>
      <c r="K301" s="34" t="str">
        <f t="shared" si="16"/>
        <v>11/WS</v>
      </c>
      <c r="L301" s="34" t="str">
        <f t="shared" si="17"/>
        <v>W</v>
      </c>
      <c r="M301" s="34" t="str">
        <f t="shared" si="18"/>
        <v>S</v>
      </c>
      <c r="N301" s="44">
        <f t="shared" si="19"/>
        <v>299</v>
      </c>
    </row>
    <row r="302" spans="1:14" x14ac:dyDescent="0.25">
      <c r="A302" s="44">
        <v>300</v>
      </c>
      <c r="B302" s="4">
        <v>4.0030999999999999</v>
      </c>
      <c r="C302" s="14">
        <v>78.934903000000006</v>
      </c>
      <c r="D302" s="14">
        <v>91.047544000000002</v>
      </c>
      <c r="E302" s="14">
        <v>330.40134599999999</v>
      </c>
      <c r="F302" s="14">
        <v>282.43850400000002</v>
      </c>
      <c r="G302" s="14">
        <v>71.590624000000005</v>
      </c>
      <c r="H302" s="14">
        <v>71.966712999999999</v>
      </c>
      <c r="I302" s="14">
        <v>5.8645069999999997</v>
      </c>
      <c r="J302" s="22">
        <v>0.47</v>
      </c>
      <c r="K302" s="34" t="str">
        <f t="shared" si="16"/>
        <v>012/WD</v>
      </c>
      <c r="L302" s="34" t="str">
        <f t="shared" si="17"/>
        <v>W</v>
      </c>
      <c r="M302" s="34" t="str">
        <f t="shared" si="18"/>
        <v>D</v>
      </c>
      <c r="N302" s="44">
        <f t="shared" si="19"/>
        <v>300</v>
      </c>
    </row>
    <row r="303" spans="1:14" x14ac:dyDescent="0.25">
      <c r="A303" s="44">
        <v>301</v>
      </c>
      <c r="B303" s="4">
        <v>3.8813</v>
      </c>
      <c r="C303" s="14">
        <v>79.045411000000001</v>
      </c>
      <c r="D303" s="14">
        <v>91.411733999999996</v>
      </c>
      <c r="E303" s="14">
        <v>332.31767300000001</v>
      </c>
      <c r="F303" s="14">
        <v>282.41025999999999</v>
      </c>
      <c r="G303" s="14">
        <v>71.662214000000006</v>
      </c>
      <c r="H303" s="14">
        <v>72.103448999999998</v>
      </c>
      <c r="I303" s="14">
        <v>5.8697850000000003</v>
      </c>
      <c r="J303" s="22">
        <v>0.56999999999999995</v>
      </c>
      <c r="K303" s="34" t="str">
        <f t="shared" si="16"/>
        <v>01/WD</v>
      </c>
      <c r="L303" s="34" t="str">
        <f t="shared" si="17"/>
        <v>W</v>
      </c>
      <c r="M303" s="34" t="str">
        <f t="shared" si="18"/>
        <v>D</v>
      </c>
      <c r="N303" s="44">
        <f t="shared" si="19"/>
        <v>301</v>
      </c>
    </row>
    <row r="304" spans="1:14" x14ac:dyDescent="0.25">
      <c r="A304" s="44">
        <v>302</v>
      </c>
      <c r="B304" s="4">
        <v>3.7463000000000002</v>
      </c>
      <c r="C304" s="14">
        <v>79.306259999999995</v>
      </c>
      <c r="D304" s="14">
        <v>90.799274999999994</v>
      </c>
      <c r="E304" s="14">
        <v>333.71340700000002</v>
      </c>
      <c r="F304" s="14">
        <v>280.969967</v>
      </c>
      <c r="G304" s="14">
        <v>71.748208000000005</v>
      </c>
      <c r="H304" s="14">
        <v>72.182761999999997</v>
      </c>
      <c r="I304" s="14">
        <v>5.8744800000000001</v>
      </c>
      <c r="J304" s="22">
        <v>0.5</v>
      </c>
      <c r="K304" s="34" t="str">
        <f t="shared" si="16"/>
        <v>02/WD</v>
      </c>
      <c r="L304" s="34" t="str">
        <f t="shared" si="17"/>
        <v>W</v>
      </c>
      <c r="M304" s="34" t="str">
        <f t="shared" si="18"/>
        <v>D</v>
      </c>
      <c r="N304" s="44">
        <f t="shared" si="19"/>
        <v>302</v>
      </c>
    </row>
    <row r="305" spans="1:14" x14ac:dyDescent="0.25">
      <c r="A305" s="44">
        <v>303</v>
      </c>
      <c r="B305" s="4">
        <v>4.0187999999999997</v>
      </c>
      <c r="C305" s="14">
        <v>79.306259999999995</v>
      </c>
      <c r="D305" s="14">
        <v>90.790194999999997</v>
      </c>
      <c r="E305" s="14">
        <v>335.24848800000001</v>
      </c>
      <c r="F305" s="14">
        <v>282.37481600000001</v>
      </c>
      <c r="G305" s="14">
        <v>71.712333000000001</v>
      </c>
      <c r="H305" s="14">
        <v>72.153887999999995</v>
      </c>
      <c r="I305" s="14">
        <v>5.8797670000000002</v>
      </c>
      <c r="J305" s="22">
        <v>0.46</v>
      </c>
      <c r="K305" s="34" t="str">
        <f t="shared" si="16"/>
        <v>03/WD</v>
      </c>
      <c r="L305" s="34" t="str">
        <f t="shared" si="17"/>
        <v>W</v>
      </c>
      <c r="M305" s="34" t="str">
        <f t="shared" si="18"/>
        <v>D</v>
      </c>
      <c r="N305" s="44">
        <f t="shared" si="19"/>
        <v>303</v>
      </c>
    </row>
    <row r="306" spans="1:14" x14ac:dyDescent="0.25">
      <c r="A306" s="44">
        <v>304</v>
      </c>
      <c r="B306" s="4">
        <v>4.0616000000000003</v>
      </c>
      <c r="C306" s="14">
        <v>79.433149999999998</v>
      </c>
      <c r="D306" s="14">
        <v>91.407567999999998</v>
      </c>
      <c r="E306" s="14">
        <v>335.85193500000003</v>
      </c>
      <c r="F306" s="14">
        <v>283.92787700000002</v>
      </c>
      <c r="G306" s="14">
        <v>71.741016999999999</v>
      </c>
      <c r="H306" s="14">
        <v>72.226040999999995</v>
      </c>
      <c r="I306" s="14">
        <v>5.8850579999999999</v>
      </c>
      <c r="J306" s="22">
        <v>0.48</v>
      </c>
      <c r="K306" s="34" t="str">
        <f t="shared" si="16"/>
        <v>04/WD</v>
      </c>
      <c r="L306" s="34" t="str">
        <f t="shared" si="17"/>
        <v>W</v>
      </c>
      <c r="M306" s="34" t="str">
        <f t="shared" si="18"/>
        <v>D</v>
      </c>
      <c r="N306" s="44">
        <f t="shared" si="19"/>
        <v>304</v>
      </c>
    </row>
    <row r="307" spans="1:14" x14ac:dyDescent="0.25">
      <c r="A307" s="44">
        <v>305</v>
      </c>
      <c r="B307" s="4">
        <v>4.1487999999999996</v>
      </c>
      <c r="C307" s="14">
        <v>79.973294999999993</v>
      </c>
      <c r="D307" s="14">
        <v>91.681790000000007</v>
      </c>
      <c r="E307" s="14">
        <v>335.98627499999998</v>
      </c>
      <c r="F307" s="14">
        <v>286.34126300000003</v>
      </c>
      <c r="G307" s="14">
        <v>72.128417999999996</v>
      </c>
      <c r="H307" s="14">
        <v>72.594392999999997</v>
      </c>
      <c r="I307" s="14">
        <v>5.8932969999999996</v>
      </c>
      <c r="J307" s="22">
        <v>0.38</v>
      </c>
      <c r="K307" s="34" t="str">
        <f t="shared" si="16"/>
        <v>05/WD</v>
      </c>
      <c r="L307" s="34" t="str">
        <f t="shared" si="17"/>
        <v>W</v>
      </c>
      <c r="M307" s="34" t="str">
        <f t="shared" si="18"/>
        <v>D</v>
      </c>
      <c r="N307" s="44">
        <f t="shared" si="19"/>
        <v>305</v>
      </c>
    </row>
    <row r="308" spans="1:14" x14ac:dyDescent="0.25">
      <c r="A308" s="44">
        <v>306</v>
      </c>
      <c r="B308" s="4">
        <v>4.1830999999999996</v>
      </c>
      <c r="C308" s="14">
        <v>80.725042999999999</v>
      </c>
      <c r="D308" s="14">
        <v>93.597938999999997</v>
      </c>
      <c r="E308" s="14">
        <v>336.691846</v>
      </c>
      <c r="F308" s="14">
        <v>291.3236</v>
      </c>
      <c r="G308" s="14">
        <v>73.008384000000007</v>
      </c>
      <c r="H308" s="14">
        <v>73.429227999999995</v>
      </c>
      <c r="I308" s="14">
        <v>5.9551759999999998</v>
      </c>
      <c r="J308" s="22">
        <v>0.37</v>
      </c>
      <c r="K308" s="34" t="str">
        <f t="shared" si="16"/>
        <v>06/WD</v>
      </c>
      <c r="L308" s="34" t="str">
        <f t="shared" si="17"/>
        <v>W</v>
      </c>
      <c r="M308" s="34" t="str">
        <f t="shared" si="18"/>
        <v>D</v>
      </c>
      <c r="N308" s="44">
        <f t="shared" si="19"/>
        <v>306</v>
      </c>
    </row>
    <row r="309" spans="1:14" x14ac:dyDescent="0.25">
      <c r="A309" s="44">
        <v>307</v>
      </c>
      <c r="B309" s="4">
        <v>4.0949</v>
      </c>
      <c r="C309" s="14">
        <v>80.959145000000007</v>
      </c>
      <c r="D309" s="14">
        <v>94.047208999999995</v>
      </c>
      <c r="E309" s="14">
        <v>337.97127499999999</v>
      </c>
      <c r="F309" s="14">
        <v>291.58579099999997</v>
      </c>
      <c r="G309" s="14">
        <v>73.147098999999997</v>
      </c>
      <c r="H309" s="14">
        <v>73.583428999999995</v>
      </c>
      <c r="I309" s="14">
        <v>5.9974569999999998</v>
      </c>
      <c r="J309" s="22">
        <v>0.38</v>
      </c>
      <c r="K309" s="34" t="str">
        <f t="shared" si="16"/>
        <v>07/WD</v>
      </c>
      <c r="L309" s="34" t="str">
        <f t="shared" si="17"/>
        <v>W</v>
      </c>
      <c r="M309" s="34" t="str">
        <f t="shared" si="18"/>
        <v>D</v>
      </c>
      <c r="N309" s="44">
        <f t="shared" si="19"/>
        <v>307</v>
      </c>
    </row>
    <row r="310" spans="1:14" x14ac:dyDescent="0.25">
      <c r="A310" s="44">
        <v>308</v>
      </c>
      <c r="B310" s="4">
        <v>4.1622000000000003</v>
      </c>
      <c r="C310" s="14">
        <v>81.048199999999994</v>
      </c>
      <c r="D310" s="14">
        <v>94.009590000000003</v>
      </c>
      <c r="E310" s="14">
        <v>339.08658000000003</v>
      </c>
      <c r="F310" s="14">
        <v>291.61494900000002</v>
      </c>
      <c r="G310" s="14">
        <v>73.271449000000004</v>
      </c>
      <c r="H310" s="14">
        <v>73.767386999999999</v>
      </c>
      <c r="I310" s="14">
        <v>6.0106510000000002</v>
      </c>
      <c r="J310" s="22">
        <v>0.28999999999999998</v>
      </c>
      <c r="K310" s="34" t="str">
        <f t="shared" si="16"/>
        <v>08/WD</v>
      </c>
      <c r="L310" s="34" t="str">
        <f t="shared" si="17"/>
        <v>W</v>
      </c>
      <c r="M310" s="34" t="str">
        <f t="shared" si="18"/>
        <v>D</v>
      </c>
      <c r="N310" s="44">
        <f t="shared" si="19"/>
        <v>308</v>
      </c>
    </row>
    <row r="311" spans="1:14" x14ac:dyDescent="0.25">
      <c r="A311" s="44">
        <v>309</v>
      </c>
      <c r="B311" s="4">
        <v>4.3163</v>
      </c>
      <c r="C311" s="14">
        <v>81.129248000000004</v>
      </c>
      <c r="D311" s="14">
        <v>95.175308000000001</v>
      </c>
      <c r="E311" s="14">
        <v>339.96820500000001</v>
      </c>
      <c r="F311" s="14">
        <v>296.39743399999998</v>
      </c>
      <c r="G311" s="14">
        <v>73.403336999999993</v>
      </c>
      <c r="H311" s="14">
        <v>73.819023999999999</v>
      </c>
      <c r="I311" s="14">
        <v>6.0118530000000003</v>
      </c>
      <c r="J311" s="22">
        <v>0.34</v>
      </c>
      <c r="K311" s="34" t="str">
        <f t="shared" si="16"/>
        <v>09/WD</v>
      </c>
      <c r="L311" s="34" t="str">
        <f t="shared" si="17"/>
        <v>W</v>
      </c>
      <c r="M311" s="34" t="str">
        <f t="shared" si="18"/>
        <v>D</v>
      </c>
      <c r="N311" s="44">
        <f t="shared" si="19"/>
        <v>309</v>
      </c>
    </row>
    <row r="312" spans="1:14" x14ac:dyDescent="0.25">
      <c r="A312" s="44">
        <v>310</v>
      </c>
      <c r="B312" s="4">
        <v>4.7362000000000002</v>
      </c>
      <c r="C312" s="14">
        <v>80.885859999999994</v>
      </c>
      <c r="D312" s="14">
        <v>95.936710000000005</v>
      </c>
      <c r="E312" s="14">
        <v>340.71613500000001</v>
      </c>
      <c r="F312" s="14">
        <v>296.54563200000001</v>
      </c>
      <c r="G312" s="14">
        <v>73.234509000000003</v>
      </c>
      <c r="H312" s="14">
        <v>73.590185000000005</v>
      </c>
      <c r="I312" s="14">
        <v>6.0112509999999997</v>
      </c>
      <c r="J312" s="22">
        <v>0.28000000000000003</v>
      </c>
      <c r="K312" s="34" t="str">
        <f t="shared" si="16"/>
        <v>010/WD</v>
      </c>
      <c r="L312" s="34" t="str">
        <f t="shared" si="17"/>
        <v>W</v>
      </c>
      <c r="M312" s="34" t="str">
        <f t="shared" si="18"/>
        <v>D</v>
      </c>
      <c r="N312" s="44">
        <f t="shared" si="19"/>
        <v>310</v>
      </c>
    </row>
    <row r="313" spans="1:14" x14ac:dyDescent="0.25">
      <c r="A313" s="44">
        <v>311</v>
      </c>
      <c r="B313" s="4">
        <v>5.2579000000000002</v>
      </c>
      <c r="C313" s="14">
        <v>80.691732999999999</v>
      </c>
      <c r="D313" s="14">
        <v>96.205331999999999</v>
      </c>
      <c r="E313" s="14">
        <v>341.39756699999998</v>
      </c>
      <c r="F313" s="14">
        <v>299.71866999999997</v>
      </c>
      <c r="G313" s="14">
        <v>73.051422000000002</v>
      </c>
      <c r="H313" s="14">
        <v>73.310541999999998</v>
      </c>
      <c r="I313" s="14">
        <v>5.975784</v>
      </c>
      <c r="J313" s="22">
        <v>0.24</v>
      </c>
      <c r="K313" s="34" t="str">
        <f t="shared" si="16"/>
        <v>11/WD</v>
      </c>
      <c r="L313" s="34" t="str">
        <f t="shared" si="17"/>
        <v>W</v>
      </c>
      <c r="M313" s="34" t="str">
        <f t="shared" si="18"/>
        <v>D</v>
      </c>
      <c r="N313" s="44">
        <f t="shared" si="19"/>
        <v>311</v>
      </c>
    </row>
    <row r="314" spans="1:14" x14ac:dyDescent="0.25">
      <c r="A314" s="44">
        <v>312</v>
      </c>
      <c r="B314" s="4">
        <v>5.8228999999999997</v>
      </c>
      <c r="C314" s="14">
        <v>81.006429999999995</v>
      </c>
      <c r="D314" s="14">
        <v>97.706135000000003</v>
      </c>
      <c r="E314" s="14">
        <v>342.55831799999999</v>
      </c>
      <c r="F314" s="14">
        <v>304.51416799999998</v>
      </c>
      <c r="G314" s="14">
        <v>73.270576000000005</v>
      </c>
      <c r="H314" s="14">
        <v>73.501148999999998</v>
      </c>
      <c r="I314" s="14">
        <v>5.976979</v>
      </c>
      <c r="J314" s="22">
        <v>0.21</v>
      </c>
      <c r="K314" s="34" t="str">
        <f t="shared" si="16"/>
        <v>012/WF</v>
      </c>
      <c r="L314" s="34" t="str">
        <f t="shared" si="17"/>
        <v>W</v>
      </c>
      <c r="M314" s="34" t="str">
        <f t="shared" si="18"/>
        <v>F</v>
      </c>
      <c r="N314" s="44">
        <f t="shared" si="19"/>
        <v>312</v>
      </c>
    </row>
    <row r="315" spans="1:14" x14ac:dyDescent="0.25">
      <c r="A315" s="44">
        <v>313</v>
      </c>
      <c r="B315" s="4">
        <v>5.1882999999999999</v>
      </c>
      <c r="C315" s="14">
        <v>81.208945999999997</v>
      </c>
      <c r="D315" s="14">
        <v>99.884980999999996</v>
      </c>
      <c r="E315" s="14">
        <v>346.56625000000003</v>
      </c>
      <c r="F315" s="14">
        <v>311.63979899999998</v>
      </c>
      <c r="G315" s="14">
        <v>73.592966000000004</v>
      </c>
      <c r="H315" s="14">
        <v>73.765753000000004</v>
      </c>
      <c r="I315" s="14">
        <v>5.9949089999999998</v>
      </c>
      <c r="J315" s="22">
        <v>0.19</v>
      </c>
      <c r="K315" s="34" t="str">
        <f t="shared" si="16"/>
        <v>01/WF</v>
      </c>
      <c r="L315" s="34" t="str">
        <f t="shared" si="17"/>
        <v>W</v>
      </c>
      <c r="M315" s="34" t="str">
        <f t="shared" si="18"/>
        <v>F</v>
      </c>
      <c r="N315" s="44">
        <f t="shared" si="19"/>
        <v>313</v>
      </c>
    </row>
    <row r="316" spans="1:14" x14ac:dyDescent="0.25">
      <c r="A316" s="44">
        <v>314</v>
      </c>
      <c r="B316" s="4">
        <v>5.3491</v>
      </c>
      <c r="C316" s="14">
        <v>81.842375000000004</v>
      </c>
      <c r="D316" s="14">
        <v>102.62182900000001</v>
      </c>
      <c r="E316" s="14">
        <v>349.06152700000001</v>
      </c>
      <c r="F316" s="14">
        <v>323.70025900000002</v>
      </c>
      <c r="G316" s="14">
        <v>73.857900000000001</v>
      </c>
      <c r="H316" s="14">
        <v>73.942790000000002</v>
      </c>
      <c r="I316" s="14">
        <v>6.0086969999999997</v>
      </c>
      <c r="J316" s="22">
        <v>0.16</v>
      </c>
      <c r="K316" s="34" t="str">
        <f t="shared" si="16"/>
        <v>02/WF</v>
      </c>
      <c r="L316" s="34" t="str">
        <f t="shared" si="17"/>
        <v>W</v>
      </c>
      <c r="M316" s="34" t="str">
        <f t="shared" si="18"/>
        <v>F</v>
      </c>
      <c r="N316" s="44">
        <f t="shared" si="19"/>
        <v>314</v>
      </c>
    </row>
    <row r="317" spans="1:14" x14ac:dyDescent="0.25">
      <c r="A317" s="44">
        <v>315</v>
      </c>
      <c r="B317" s="4">
        <v>5.3852000000000002</v>
      </c>
      <c r="C317" s="14">
        <v>82.759009000000006</v>
      </c>
      <c r="D317" s="14">
        <v>107.075616</v>
      </c>
      <c r="E317" s="14">
        <v>353.11063999999999</v>
      </c>
      <c r="F317" s="14">
        <v>334.38236699999999</v>
      </c>
      <c r="G317" s="14">
        <v>74.500462999999996</v>
      </c>
      <c r="H317" s="14">
        <v>74.416022999999996</v>
      </c>
      <c r="I317" s="14">
        <v>6.035736</v>
      </c>
      <c r="J317" s="22">
        <v>0.16</v>
      </c>
      <c r="K317" s="34" t="str">
        <f t="shared" si="16"/>
        <v>03/WF</v>
      </c>
      <c r="L317" s="34" t="str">
        <f t="shared" si="17"/>
        <v>W</v>
      </c>
      <c r="M317" s="34" t="str">
        <f t="shared" si="18"/>
        <v>F</v>
      </c>
      <c r="N317" s="44">
        <f t="shared" si="19"/>
        <v>315</v>
      </c>
    </row>
    <row r="318" spans="1:14" x14ac:dyDescent="0.25">
      <c r="A318" s="44">
        <v>316</v>
      </c>
      <c r="B318" s="4">
        <v>5.2728000000000002</v>
      </c>
      <c r="C318" s="14">
        <v>83.743841000000003</v>
      </c>
      <c r="D318" s="14">
        <v>110.53415800000001</v>
      </c>
      <c r="E318" s="14">
        <v>359.21945399999998</v>
      </c>
      <c r="F318" s="14">
        <v>346.68763799999999</v>
      </c>
      <c r="G318" s="14">
        <v>75.163516999999999</v>
      </c>
      <c r="H318" s="14">
        <v>75.055999999999997</v>
      </c>
      <c r="I318" s="14">
        <v>6.0924709999999997</v>
      </c>
      <c r="J318" s="22">
        <v>0.16</v>
      </c>
      <c r="K318" s="34" t="str">
        <f t="shared" si="16"/>
        <v>04/WF</v>
      </c>
      <c r="L318" s="34" t="str">
        <f t="shared" si="17"/>
        <v>W</v>
      </c>
      <c r="M318" s="34" t="str">
        <f t="shared" si="18"/>
        <v>F</v>
      </c>
      <c r="N318" s="44">
        <f t="shared" si="19"/>
        <v>316</v>
      </c>
    </row>
    <row r="319" spans="1:14" x14ac:dyDescent="0.25">
      <c r="A319" s="44">
        <v>317</v>
      </c>
      <c r="B319" s="4">
        <v>5.6172000000000004</v>
      </c>
      <c r="C319" s="14">
        <v>84.606402000000003</v>
      </c>
      <c r="D319" s="14">
        <v>114.159678</v>
      </c>
      <c r="E319" s="14">
        <v>363.81746299999998</v>
      </c>
      <c r="F319" s="14">
        <v>355.840191</v>
      </c>
      <c r="G319" s="14">
        <v>75.877570000000006</v>
      </c>
      <c r="H319" s="14">
        <v>75.723997999999995</v>
      </c>
      <c r="I319" s="14">
        <v>6.1418200000000001</v>
      </c>
      <c r="J319" s="22">
        <v>0.15</v>
      </c>
      <c r="K319" s="34" t="str">
        <f t="shared" si="16"/>
        <v>05/WF</v>
      </c>
      <c r="L319" s="34" t="str">
        <f t="shared" si="17"/>
        <v>W</v>
      </c>
      <c r="M319" s="34" t="str">
        <f t="shared" si="18"/>
        <v>F</v>
      </c>
      <c r="N319" s="44">
        <f t="shared" si="19"/>
        <v>317</v>
      </c>
    </row>
    <row r="320" spans="1:14" x14ac:dyDescent="0.25">
      <c r="A320" s="44">
        <v>318</v>
      </c>
      <c r="B320" s="4">
        <v>5.4854000000000003</v>
      </c>
      <c r="C320" s="9">
        <v>85.274792000000005</v>
      </c>
      <c r="D320" s="14">
        <v>115.25561</v>
      </c>
      <c r="E320" s="14">
        <v>366.36418500000002</v>
      </c>
      <c r="F320" s="14">
        <v>358.54457600000001</v>
      </c>
      <c r="G320" s="14">
        <v>76.985382000000001</v>
      </c>
      <c r="H320" s="14">
        <v>76.746270999999993</v>
      </c>
      <c r="I320" s="14">
        <v>6.2069229999999997</v>
      </c>
      <c r="J320" s="22">
        <v>0.16</v>
      </c>
      <c r="K320" s="34" t="str">
        <f t="shared" si="16"/>
        <v>06/WF</v>
      </c>
      <c r="L320" s="34" t="str">
        <f t="shared" si="17"/>
        <v>W</v>
      </c>
      <c r="M320" s="34" t="str">
        <f t="shared" si="18"/>
        <v>F</v>
      </c>
      <c r="N320" s="44">
        <f t="shared" si="19"/>
        <v>318</v>
      </c>
    </row>
    <row r="321" spans="1:14" x14ac:dyDescent="0.25">
      <c r="A321" s="44">
        <v>319</v>
      </c>
      <c r="B321" s="4">
        <v>5.0968</v>
      </c>
      <c r="C321" s="14">
        <v>86.008155000000002</v>
      </c>
      <c r="D321" s="14">
        <v>118.229204</v>
      </c>
      <c r="E321" s="14">
        <v>369.62482599999998</v>
      </c>
      <c r="F321" s="14">
        <v>368.97822300000001</v>
      </c>
      <c r="G321" s="14">
        <v>77.193241999999998</v>
      </c>
      <c r="H321" s="14">
        <v>76.938136</v>
      </c>
      <c r="I321" s="14">
        <v>6.2553359999999998</v>
      </c>
      <c r="J321" s="22">
        <v>0.15</v>
      </c>
      <c r="K321" s="34" t="str">
        <f t="shared" si="16"/>
        <v>07/WF</v>
      </c>
      <c r="L321" s="34" t="str">
        <f t="shared" si="17"/>
        <v>W</v>
      </c>
      <c r="M321" s="34" t="str">
        <f t="shared" si="18"/>
        <v>F</v>
      </c>
      <c r="N321" s="44">
        <f t="shared" si="19"/>
        <v>319</v>
      </c>
    </row>
    <row r="322" spans="1:14" x14ac:dyDescent="0.25">
      <c r="A322" s="44">
        <v>320</v>
      </c>
      <c r="B322" s="4">
        <v>5.2713999999999999</v>
      </c>
      <c r="C322" s="14">
        <v>86.205973</v>
      </c>
      <c r="D322" s="14">
        <v>121.22040200000001</v>
      </c>
      <c r="E322" s="14">
        <v>376.61073499999998</v>
      </c>
      <c r="F322" s="14">
        <v>378.977532</v>
      </c>
      <c r="G322" s="14">
        <v>77.826226000000005</v>
      </c>
      <c r="H322" s="14">
        <v>77.599802999999994</v>
      </c>
      <c r="I322" s="14">
        <v>6.285361</v>
      </c>
      <c r="J322" s="22">
        <v>0.13</v>
      </c>
      <c r="K322" s="34" t="str">
        <f t="shared" si="16"/>
        <v>08/WF</v>
      </c>
      <c r="L322" s="34" t="str">
        <f t="shared" si="17"/>
        <v>W</v>
      </c>
      <c r="M322" s="34" t="str">
        <f t="shared" si="18"/>
        <v>F</v>
      </c>
      <c r="N322" s="44">
        <f t="shared" si="19"/>
        <v>320</v>
      </c>
    </row>
    <row r="323" spans="1:14" x14ac:dyDescent="0.25">
      <c r="A323" s="44">
        <v>321</v>
      </c>
      <c r="B323" s="4">
        <v>5.3815</v>
      </c>
      <c r="C323" s="14">
        <v>86.818034999999995</v>
      </c>
      <c r="D323" s="14">
        <v>124.78428099999999</v>
      </c>
      <c r="E323" s="14">
        <v>381.50667399999998</v>
      </c>
      <c r="F323" s="14">
        <v>387.20134400000001</v>
      </c>
      <c r="G323" s="14">
        <v>78.495531</v>
      </c>
      <c r="H323" s="14">
        <v>78.321481000000006</v>
      </c>
      <c r="I323" s="14">
        <v>6.3438140000000001</v>
      </c>
      <c r="J323" s="22">
        <v>0.2</v>
      </c>
      <c r="K323" s="34" t="str">
        <f t="shared" si="16"/>
        <v>09/WF</v>
      </c>
      <c r="L323" s="34" t="str">
        <f t="shared" si="17"/>
        <v>W</v>
      </c>
      <c r="M323" s="34" t="str">
        <f t="shared" si="18"/>
        <v>F</v>
      </c>
      <c r="N323" s="44">
        <f t="shared" si="19"/>
        <v>321</v>
      </c>
    </row>
    <row r="324" spans="1:14" x14ac:dyDescent="0.25">
      <c r="A324" s="44">
        <v>322</v>
      </c>
      <c r="B324" s="4">
        <v>5.6295999999999999</v>
      </c>
      <c r="C324" s="14">
        <v>87.200034000000002</v>
      </c>
      <c r="D324" s="14">
        <v>126.66852299999999</v>
      </c>
      <c r="E324" s="14">
        <v>384.94023399999998</v>
      </c>
      <c r="F324" s="14">
        <v>395.797213</v>
      </c>
      <c r="G324" s="14">
        <v>78.793813999999998</v>
      </c>
      <c r="H324" s="14">
        <v>78.564277000000004</v>
      </c>
      <c r="I324" s="14">
        <v>6.3818760000000001</v>
      </c>
      <c r="J324" s="22">
        <v>0.21</v>
      </c>
      <c r="K324" s="34" t="str">
        <f t="shared" ref="K324:K336" si="20">CONCATENATE(IF(AND((A324/12-ROUNDDOWN(A324/12,0))*12&lt;10,A324&lt;&gt;12),"0",""),IF((A324/12-ROUNDDOWN(A324/12,0))*12=0,12,ROUND((A324/12-ROUNDDOWN(A324/12,0))*12,0)),"/",L324,M324)</f>
        <v>010/WF</v>
      </c>
      <c r="L324" s="34" t="str">
        <f t="shared" ref="L324:L336" si="21">VLOOKUP(ROUNDDOWN(A324/120,0),$O$3:$P$12,2,FALSE)</f>
        <v>W</v>
      </c>
      <c r="M324" s="34" t="str">
        <f t="shared" ref="M324:M336" si="22">VLOOKUP(ROUNDDOWN(A324/12,0)-ROUNDDOWN(A324/120,0)*10,$O$3:$P$12,2,FALSE)</f>
        <v>F</v>
      </c>
      <c r="N324" s="44">
        <f t="shared" ref="N324:N336" si="23">A324</f>
        <v>322</v>
      </c>
    </row>
    <row r="325" spans="1:14" x14ac:dyDescent="0.25">
      <c r="A325" s="44">
        <v>323</v>
      </c>
      <c r="B325" s="4">
        <v>5.6234000000000002</v>
      </c>
      <c r="C325" s="14">
        <v>87.557553999999996</v>
      </c>
      <c r="D325" s="14">
        <v>131.861932</v>
      </c>
      <c r="E325" s="14">
        <v>393.485907</v>
      </c>
      <c r="F325" s="14">
        <v>409.25431800000001</v>
      </c>
      <c r="G325" s="14">
        <v>79.550234000000003</v>
      </c>
      <c r="H325" s="14">
        <v>79.216359999999995</v>
      </c>
      <c r="I325" s="14">
        <v>6.4099560000000002</v>
      </c>
      <c r="J325" s="22">
        <v>0.27</v>
      </c>
      <c r="K325" s="34" t="str">
        <f t="shared" si="20"/>
        <v>11/WF</v>
      </c>
      <c r="L325" s="34" t="str">
        <f t="shared" si="21"/>
        <v>W</v>
      </c>
      <c r="M325" s="34" t="str">
        <f t="shared" si="22"/>
        <v>F</v>
      </c>
      <c r="N325" s="44">
        <f t="shared" si="23"/>
        <v>323</v>
      </c>
    </row>
    <row r="326" spans="1:14" x14ac:dyDescent="0.25">
      <c r="A326" s="44">
        <v>324</v>
      </c>
      <c r="B326" s="4">
        <v>5.2701000000000002</v>
      </c>
      <c r="C326" s="14">
        <v>88.266769999999994</v>
      </c>
      <c r="D326" s="14">
        <v>132.65310299999999</v>
      </c>
      <c r="E326" s="14">
        <v>401.98520200000002</v>
      </c>
      <c r="F326" s="14">
        <v>409.704497</v>
      </c>
      <c r="G326" s="14">
        <v>80.027535</v>
      </c>
      <c r="H326" s="14">
        <v>79.636206000000001</v>
      </c>
      <c r="I326" s="14">
        <v>6.463158</v>
      </c>
      <c r="J326" s="22">
        <v>0.31</v>
      </c>
      <c r="K326" s="34" t="str">
        <f t="shared" si="20"/>
        <v>012/WQ</v>
      </c>
      <c r="L326" s="34" t="str">
        <f t="shared" si="21"/>
        <v>W</v>
      </c>
      <c r="M326" s="34" t="str">
        <f t="shared" si="22"/>
        <v>Q</v>
      </c>
      <c r="N326" s="44">
        <f t="shared" si="23"/>
        <v>324</v>
      </c>
    </row>
    <row r="327" spans="1:14" x14ac:dyDescent="0.25">
      <c r="A327" s="44">
        <v>325</v>
      </c>
      <c r="B327" s="4">
        <v>5.0873999999999997</v>
      </c>
      <c r="C327" s="14">
        <v>89.167090999999999</v>
      </c>
      <c r="D327" s="14">
        <v>133.68779699999999</v>
      </c>
      <c r="E327" s="14">
        <v>405.40207600000002</v>
      </c>
      <c r="F327" s="14">
        <v>415.64521200000001</v>
      </c>
      <c r="G327" s="14">
        <v>80.843815000000006</v>
      </c>
      <c r="H327" s="14">
        <v>80.400712999999996</v>
      </c>
      <c r="I327" s="14">
        <v>6.5096920000000003</v>
      </c>
      <c r="J327" s="22">
        <v>0.36</v>
      </c>
      <c r="K327" s="34" t="str">
        <f t="shared" si="20"/>
        <v>01/WQ</v>
      </c>
      <c r="L327" s="34" t="str">
        <f t="shared" si="21"/>
        <v>W</v>
      </c>
      <c r="M327" s="34" t="str">
        <f t="shared" si="22"/>
        <v>Q</v>
      </c>
      <c r="N327" s="44">
        <f t="shared" si="23"/>
        <v>325</v>
      </c>
    </row>
    <row r="328" spans="1:14" x14ac:dyDescent="0.25">
      <c r="A328" s="44">
        <v>326</v>
      </c>
      <c r="B328" s="4">
        <v>5.0999999999999996</v>
      </c>
      <c r="C328" s="14">
        <v>90.451097000000004</v>
      </c>
      <c r="D328" s="14">
        <v>134.57013599999999</v>
      </c>
      <c r="E328" s="14">
        <v>407.26692500000001</v>
      </c>
      <c r="F328" s="14">
        <v>415.06330800000001</v>
      </c>
      <c r="G328" s="14">
        <v>81.555239999999998</v>
      </c>
      <c r="H328" s="14">
        <v>81.100199000000003</v>
      </c>
      <c r="I328" s="14">
        <v>6.567628</v>
      </c>
      <c r="J328" s="22">
        <v>0.43</v>
      </c>
      <c r="K328" s="34" t="str">
        <f t="shared" si="20"/>
        <v>02/WQ</v>
      </c>
      <c r="L328" s="34" t="str">
        <f t="shared" si="21"/>
        <v>W</v>
      </c>
      <c r="M328" s="34" t="str">
        <f t="shared" si="22"/>
        <v>Q</v>
      </c>
      <c r="N328" s="44">
        <f t="shared" si="23"/>
        <v>326</v>
      </c>
    </row>
    <row r="329" spans="1:14" x14ac:dyDescent="0.25">
      <c r="A329" s="44">
        <v>327</v>
      </c>
      <c r="B329" s="4">
        <v>5.2473999999999998</v>
      </c>
      <c r="C329" s="9">
        <v>91.473194000000007</v>
      </c>
      <c r="D329" s="9">
        <v>133.708887</v>
      </c>
      <c r="E329" s="9">
        <v>409.34398599999997</v>
      </c>
      <c r="F329" s="9">
        <v>412.78045900000001</v>
      </c>
      <c r="G329" s="9">
        <v>82.533901999999998</v>
      </c>
      <c r="H329" s="9">
        <v>82.040960999999996</v>
      </c>
      <c r="I329" s="9">
        <v>6.6424979999999998</v>
      </c>
      <c r="J329" s="18">
        <v>0.44</v>
      </c>
      <c r="K329" s="34" t="str">
        <f t="shared" si="20"/>
        <v>03/WQ</v>
      </c>
      <c r="L329" s="34" t="str">
        <f t="shared" si="21"/>
        <v>W</v>
      </c>
      <c r="M329" s="34" t="str">
        <f t="shared" si="22"/>
        <v>Q</v>
      </c>
      <c r="N329" s="44">
        <f t="shared" si="23"/>
        <v>327</v>
      </c>
    </row>
    <row r="330" spans="1:14" x14ac:dyDescent="0.25">
      <c r="A330" s="44">
        <v>328</v>
      </c>
      <c r="B330" s="4">
        <v>5.2576000000000001</v>
      </c>
      <c r="C330" s="14">
        <v>92.387924999999996</v>
      </c>
      <c r="D330" s="14">
        <v>134.56462300000001</v>
      </c>
      <c r="E330" s="14">
        <v>412.86434400000002</v>
      </c>
      <c r="F330" s="14">
        <v>419.38494600000001</v>
      </c>
      <c r="G330" s="14">
        <v>83.491294999999994</v>
      </c>
      <c r="H330" s="14">
        <v>83.066473000000002</v>
      </c>
      <c r="I330" s="14">
        <v>6.722207</v>
      </c>
      <c r="J330" s="22">
        <v>0.49</v>
      </c>
      <c r="K330" s="34" t="str">
        <f t="shared" si="20"/>
        <v>04/WQ</v>
      </c>
      <c r="L330" s="34" t="str">
        <f t="shared" si="21"/>
        <v>W</v>
      </c>
      <c r="M330" s="34" t="str">
        <f t="shared" si="22"/>
        <v>Q</v>
      </c>
      <c r="N330" s="44">
        <f t="shared" si="23"/>
        <v>328</v>
      </c>
    </row>
    <row r="331" spans="1:14" x14ac:dyDescent="0.25">
      <c r="A331" s="44">
        <v>329</v>
      </c>
      <c r="B331" s="4">
        <v>5.4509999999999996</v>
      </c>
      <c r="C331" s="14">
        <v>93.053117999999998</v>
      </c>
      <c r="D331" s="14">
        <v>134.59153499999999</v>
      </c>
      <c r="E331" s="14">
        <v>415.63053500000001</v>
      </c>
      <c r="F331" s="14">
        <v>416.95251300000001</v>
      </c>
      <c r="G331" s="14">
        <v>84.192621000000003</v>
      </c>
      <c r="H331" s="14">
        <v>83.855604</v>
      </c>
      <c r="I331" s="14">
        <v>6.8008559999999996</v>
      </c>
      <c r="J331" s="22">
        <v>0.59</v>
      </c>
      <c r="K331" s="34" t="str">
        <f t="shared" si="20"/>
        <v>05/WQ</v>
      </c>
      <c r="L331" s="34" t="str">
        <f t="shared" si="21"/>
        <v>W</v>
      </c>
      <c r="M331" s="34" t="str">
        <f t="shared" si="22"/>
        <v>Q</v>
      </c>
      <c r="N331" s="44">
        <f t="shared" si="23"/>
        <v>329</v>
      </c>
    </row>
    <row r="332" spans="1:14" x14ac:dyDescent="0.25">
      <c r="A332" s="44">
        <v>330</v>
      </c>
      <c r="B332" s="4">
        <v>5.4199000000000002</v>
      </c>
      <c r="C332" s="14">
        <v>93.583519999999993</v>
      </c>
      <c r="D332" s="14">
        <v>135.76248100000001</v>
      </c>
      <c r="E332" s="14">
        <v>417.085241</v>
      </c>
      <c r="F332" s="14">
        <v>422.16441900000001</v>
      </c>
      <c r="G332" s="14">
        <v>84.807226999999997</v>
      </c>
      <c r="H332" s="14">
        <v>84.467748999999998</v>
      </c>
      <c r="I332" s="14">
        <v>6.8539019999999997</v>
      </c>
      <c r="J332" s="22">
        <v>0.77</v>
      </c>
      <c r="K332" s="34" t="str">
        <f t="shared" si="20"/>
        <v>06/WQ</v>
      </c>
      <c r="L332" s="34" t="str">
        <f t="shared" si="21"/>
        <v>W</v>
      </c>
      <c r="M332" s="34" t="str">
        <f t="shared" si="22"/>
        <v>Q</v>
      </c>
      <c r="N332" s="44">
        <f t="shared" si="23"/>
        <v>330</v>
      </c>
    </row>
    <row r="333" spans="1:14" x14ac:dyDescent="0.25">
      <c r="A333" s="44">
        <v>331</v>
      </c>
      <c r="B333" s="4">
        <v>5.7126999999999999</v>
      </c>
      <c r="C333" s="14">
        <v>94.276038</v>
      </c>
      <c r="D333" s="14">
        <v>138.23335800000001</v>
      </c>
      <c r="E333" s="14">
        <v>420.04654599999998</v>
      </c>
      <c r="F333" s="14">
        <v>430.649923</v>
      </c>
      <c r="G333" s="14">
        <v>85.375434999999996</v>
      </c>
      <c r="H333" s="14">
        <v>84.923873999999998</v>
      </c>
      <c r="I333" s="14">
        <v>6.8936539999999997</v>
      </c>
      <c r="J333" s="22">
        <v>0.73</v>
      </c>
      <c r="K333" s="34" t="str">
        <f t="shared" si="20"/>
        <v>07/WQ</v>
      </c>
      <c r="L333" s="34" t="str">
        <f t="shared" si="21"/>
        <v>W</v>
      </c>
      <c r="M333" s="34" t="str">
        <f t="shared" si="22"/>
        <v>Q</v>
      </c>
      <c r="N333" s="44">
        <f t="shared" si="23"/>
        <v>331</v>
      </c>
    </row>
    <row r="334" spans="1:14" x14ac:dyDescent="0.25">
      <c r="A334" s="44">
        <v>332</v>
      </c>
      <c r="B334" s="4">
        <v>5.5349000000000004</v>
      </c>
      <c r="C334" s="14">
        <v>95.124521999999999</v>
      </c>
      <c r="D334" s="14">
        <v>140.76302799999999</v>
      </c>
      <c r="E334" s="14">
        <v>421.64272199999999</v>
      </c>
      <c r="F334" s="14">
        <v>437.10967099999999</v>
      </c>
      <c r="G334" s="14">
        <v>86.229189000000005</v>
      </c>
      <c r="H334" s="14">
        <v>85.781604999999999</v>
      </c>
      <c r="I334" s="14">
        <v>6.9619010000000001</v>
      </c>
      <c r="J334" s="22">
        <v>0.76</v>
      </c>
      <c r="K334" s="34" t="str">
        <f t="shared" si="20"/>
        <v>08/WQ</v>
      </c>
      <c r="L334" s="34" t="str">
        <f t="shared" si="21"/>
        <v>W</v>
      </c>
      <c r="M334" s="34" t="str">
        <f t="shared" si="22"/>
        <v>Q</v>
      </c>
      <c r="N334" s="44">
        <f t="shared" si="23"/>
        <v>332</v>
      </c>
    </row>
    <row r="335" spans="1:14" x14ac:dyDescent="0.25">
      <c r="A335" s="44">
        <v>333</v>
      </c>
      <c r="B335" s="4">
        <v>5.1881000000000004</v>
      </c>
      <c r="C335" s="14">
        <v>96.342115000000007</v>
      </c>
      <c r="D335" s="14">
        <v>143.21230399999999</v>
      </c>
      <c r="E335" s="14">
        <v>425.26884899999999</v>
      </c>
      <c r="F335" s="14">
        <v>447.46917000000002</v>
      </c>
      <c r="G335" s="14">
        <v>87.703708000000006</v>
      </c>
      <c r="H335" s="14">
        <v>87.171267</v>
      </c>
      <c r="I335" s="14">
        <v>7.0280389999999997</v>
      </c>
      <c r="J335" s="22">
        <v>0.93</v>
      </c>
      <c r="K335" s="34" t="str">
        <f t="shared" si="20"/>
        <v>09/WQ</v>
      </c>
      <c r="L335" s="34" t="str">
        <f t="shared" si="21"/>
        <v>W</v>
      </c>
      <c r="M335" s="34" t="str">
        <f t="shared" si="22"/>
        <v>Q</v>
      </c>
      <c r="N335" s="44">
        <f t="shared" si="23"/>
        <v>333</v>
      </c>
    </row>
    <row r="336" spans="1:14" x14ac:dyDescent="0.25">
      <c r="A336" s="44">
        <v>334</v>
      </c>
      <c r="B336" s="4">
        <v>5.1314000000000002</v>
      </c>
      <c r="C336" s="16">
        <v>97.902856999999997</v>
      </c>
      <c r="D336" s="16">
        <v>145.23159699999999</v>
      </c>
      <c r="E336" s="16">
        <v>429.30890299999999</v>
      </c>
      <c r="F336" s="16">
        <v>449.30379299999998</v>
      </c>
      <c r="G336" s="16">
        <v>88.615825999999998</v>
      </c>
      <c r="H336" s="16">
        <v>88.095281999999997</v>
      </c>
      <c r="I336" s="16">
        <v>7.1496240000000002</v>
      </c>
      <c r="J336" s="17">
        <v>0.83</v>
      </c>
      <c r="K336" s="34" t="str">
        <f t="shared" si="20"/>
        <v>010/WQ</v>
      </c>
      <c r="L336" s="34" t="str">
        <f t="shared" si="21"/>
        <v>W</v>
      </c>
      <c r="M336" s="34" t="str">
        <f t="shared" si="22"/>
        <v>Q</v>
      </c>
      <c r="N336" s="44">
        <f t="shared" si="23"/>
        <v>334</v>
      </c>
    </row>
    <row r="604" spans="11:11" x14ac:dyDescent="0.25">
      <c r="K604" s="23"/>
    </row>
    <row r="631" spans="1:10" x14ac:dyDescent="0.25">
      <c r="A631" s="1"/>
    </row>
    <row r="632" spans="1:10" x14ac:dyDescent="0.25">
      <c r="A632" s="1" t="s">
        <v>171</v>
      </c>
      <c r="B632" s="4">
        <v>4.3499999999999996</v>
      </c>
      <c r="C632" s="14">
        <v>47.104827</v>
      </c>
      <c r="D632" s="14">
        <v>43.3</v>
      </c>
      <c r="E632" s="14">
        <v>49.778300000000002</v>
      </c>
      <c r="F632" s="14">
        <v>41.915255000000002</v>
      </c>
      <c r="G632" s="14">
        <v>43.3</v>
      </c>
      <c r="H632" s="14">
        <v>43.3</v>
      </c>
      <c r="I632" s="14">
        <v>3.8555169999999999</v>
      </c>
      <c r="J632" s="19">
        <v>0</v>
      </c>
    </row>
    <row r="633" spans="1:10" x14ac:dyDescent="0.25">
      <c r="A633" s="1" t="s">
        <v>172</v>
      </c>
      <c r="B633" s="4">
        <v>4.41</v>
      </c>
      <c r="C633" s="14">
        <v>47.717188999999998</v>
      </c>
      <c r="D633" s="14">
        <v>44.17</v>
      </c>
      <c r="E633" s="14">
        <v>50.450307000000002</v>
      </c>
      <c r="F633" s="14">
        <v>42.510451000000003</v>
      </c>
      <c r="G633" s="14">
        <v>44.17</v>
      </c>
      <c r="H633" s="14">
        <v>44.17</v>
      </c>
      <c r="I633" s="14">
        <v>3.9329839999999998</v>
      </c>
      <c r="J633" s="19">
        <v>0</v>
      </c>
    </row>
    <row r="634" spans="1:10" x14ac:dyDescent="0.25">
      <c r="A634" s="1" t="s">
        <v>173</v>
      </c>
      <c r="B634" s="4">
        <v>4.41</v>
      </c>
      <c r="C634" s="14">
        <v>48.356599000000003</v>
      </c>
      <c r="D634" s="14">
        <v>44.67</v>
      </c>
      <c r="E634" s="14">
        <v>51.797330000000002</v>
      </c>
      <c r="F634" s="14">
        <v>43.326650999999998</v>
      </c>
      <c r="G634" s="14">
        <v>44.67</v>
      </c>
      <c r="H634" s="14">
        <v>44.67</v>
      </c>
      <c r="I634" s="14">
        <v>3.9775040000000002</v>
      </c>
      <c r="J634" s="19">
        <v>0</v>
      </c>
    </row>
    <row r="635" spans="1:10" x14ac:dyDescent="0.25">
      <c r="A635" s="1" t="s">
        <v>174</v>
      </c>
      <c r="B635" s="4">
        <v>4.49</v>
      </c>
      <c r="C635" s="14">
        <v>49.014248000000002</v>
      </c>
      <c r="D635" s="14">
        <v>45.08</v>
      </c>
      <c r="E635" s="14">
        <v>53.366788999999997</v>
      </c>
      <c r="F635" s="14">
        <v>43.465296000000002</v>
      </c>
      <c r="G635" s="14">
        <v>45.08</v>
      </c>
      <c r="H635" s="14">
        <v>45.08</v>
      </c>
      <c r="I635" s="14">
        <v>4.0140120000000001</v>
      </c>
      <c r="J635" s="19">
        <v>0</v>
      </c>
    </row>
    <row r="636" spans="1:10" x14ac:dyDescent="0.25">
      <c r="A636" s="1" t="s">
        <v>175</v>
      </c>
      <c r="B636" s="4">
        <v>4.49</v>
      </c>
      <c r="C636" s="14">
        <v>49.494587000000003</v>
      </c>
      <c r="D636" s="14">
        <v>45.5</v>
      </c>
      <c r="E636" s="14">
        <v>54.935772</v>
      </c>
      <c r="F636" s="14">
        <v>44.160739999999997</v>
      </c>
      <c r="G636" s="14">
        <v>45.5</v>
      </c>
      <c r="H636" s="14">
        <v>45.5</v>
      </c>
      <c r="I636" s="14">
        <v>4.0514089999999996</v>
      </c>
      <c r="J636" s="19">
        <v>0</v>
      </c>
    </row>
    <row r="637" spans="1:10" x14ac:dyDescent="0.25">
      <c r="A637" s="1" t="s">
        <v>176</v>
      </c>
      <c r="B637" s="4">
        <v>4.5599999999999996</v>
      </c>
      <c r="C637" s="14">
        <v>50.241954999999997</v>
      </c>
      <c r="D637" s="14">
        <v>46.2</v>
      </c>
      <c r="E637" s="14">
        <v>55.611480999999998</v>
      </c>
      <c r="F637" s="14">
        <v>45.136691999999996</v>
      </c>
      <c r="G637" s="14">
        <v>46.2</v>
      </c>
      <c r="H637" s="14">
        <v>46.2</v>
      </c>
      <c r="I637" s="14">
        <v>4.1137389999999998</v>
      </c>
      <c r="J637" s="19">
        <v>0</v>
      </c>
    </row>
    <row r="638" spans="1:10" x14ac:dyDescent="0.25">
      <c r="A638" s="1" t="s">
        <v>177</v>
      </c>
      <c r="B638" s="4">
        <v>4.62</v>
      </c>
      <c r="C638" s="14">
        <v>50.638866</v>
      </c>
      <c r="D638" s="14">
        <v>46.61</v>
      </c>
      <c r="E638" s="14">
        <v>56.284379000000001</v>
      </c>
      <c r="F638" s="14">
        <v>45.913043000000002</v>
      </c>
      <c r="G638" s="14">
        <v>46.61</v>
      </c>
      <c r="H638" s="14">
        <v>46.61</v>
      </c>
      <c r="I638" s="14">
        <v>4.1502460000000001</v>
      </c>
      <c r="J638" s="19">
        <v>0</v>
      </c>
    </row>
    <row r="639" spans="1:10" x14ac:dyDescent="0.25">
      <c r="A639" s="1" t="s">
        <v>178</v>
      </c>
      <c r="B639" s="4">
        <v>4.6500000000000004</v>
      </c>
      <c r="C639" s="14">
        <v>51.438960000000002</v>
      </c>
      <c r="D639" s="14">
        <v>47.05</v>
      </c>
      <c r="E639" s="14">
        <v>56.734653999999999</v>
      </c>
      <c r="F639" s="14">
        <v>46.969042000000002</v>
      </c>
      <c r="G639" s="14">
        <v>47.05</v>
      </c>
      <c r="H639" s="14">
        <v>47.05</v>
      </c>
      <c r="I639" s="14">
        <v>4.1894239999999998</v>
      </c>
      <c r="J639" s="19">
        <v>0</v>
      </c>
    </row>
    <row r="640" spans="1:10" x14ac:dyDescent="0.25">
      <c r="A640" s="8" t="s">
        <v>179</v>
      </c>
      <c r="B640" s="4">
        <v>4.6500000000000004</v>
      </c>
      <c r="C640" s="14">
        <v>52.683782000000001</v>
      </c>
      <c r="D640" s="14">
        <v>47.61</v>
      </c>
      <c r="E640" s="14">
        <v>57.659427999999998</v>
      </c>
      <c r="F640" s="14">
        <v>47.903725000000001</v>
      </c>
      <c r="G640" s="14">
        <v>47.61</v>
      </c>
      <c r="H640" s="14">
        <v>47.61</v>
      </c>
      <c r="I640" s="14">
        <v>4.2392880000000002</v>
      </c>
      <c r="J640" s="19">
        <v>0</v>
      </c>
    </row>
    <row r="641" spans="1:10" x14ac:dyDescent="0.25">
      <c r="A641" s="1" t="s">
        <v>180</v>
      </c>
      <c r="B641" s="4">
        <v>4.72</v>
      </c>
      <c r="C641" s="14">
        <v>53.289645</v>
      </c>
      <c r="D641" s="14">
        <v>48.51</v>
      </c>
      <c r="E641" s="14">
        <v>57.884298999999999</v>
      </c>
      <c r="F641" s="14">
        <v>48.617489999999997</v>
      </c>
      <c r="G641" s="14">
        <v>48.51</v>
      </c>
      <c r="H641" s="14">
        <v>48.51</v>
      </c>
      <c r="I641" s="14">
        <v>4.319426</v>
      </c>
      <c r="J641" s="19">
        <v>0</v>
      </c>
    </row>
    <row r="642" spans="1:10" x14ac:dyDescent="0.25">
      <c r="A642" s="1" t="s">
        <v>181</v>
      </c>
      <c r="B642" s="4">
        <v>4.8099999999999996</v>
      </c>
      <c r="C642" s="14">
        <v>53.801225000000002</v>
      </c>
      <c r="D642" s="14">
        <v>49.54</v>
      </c>
      <c r="E642" s="14">
        <v>58.110047000000002</v>
      </c>
      <c r="F642" s="14">
        <v>48.996706000000003</v>
      </c>
      <c r="G642" s="14">
        <v>49.54</v>
      </c>
      <c r="H642" s="14">
        <v>49.54</v>
      </c>
      <c r="I642" s="14">
        <v>4.4111390000000004</v>
      </c>
      <c r="J642" s="19">
        <v>0</v>
      </c>
    </row>
    <row r="643" spans="1:10" x14ac:dyDescent="0.25">
      <c r="A643" s="1" t="s">
        <v>182</v>
      </c>
      <c r="B643" s="4">
        <v>4.8600000000000003</v>
      </c>
      <c r="C643" s="14">
        <v>54.619002999999999</v>
      </c>
      <c r="D643" s="14">
        <v>50.51</v>
      </c>
      <c r="E643" s="14">
        <v>58.557493999999998</v>
      </c>
      <c r="F643" s="14">
        <v>49.373980000000003</v>
      </c>
      <c r="G643" s="14">
        <v>50.51</v>
      </c>
      <c r="H643" s="14">
        <v>50.51</v>
      </c>
      <c r="I643" s="14">
        <v>4.4975100000000001</v>
      </c>
      <c r="J643" s="19">
        <v>0</v>
      </c>
    </row>
    <row r="644" spans="1:10" x14ac:dyDescent="0.25">
      <c r="A644" s="1" t="s">
        <v>183</v>
      </c>
      <c r="B644" s="4">
        <v>4.95</v>
      </c>
      <c r="C644" s="14">
        <v>55.809697</v>
      </c>
      <c r="D644" s="14">
        <v>51.44</v>
      </c>
      <c r="E644" s="14">
        <v>59.230905</v>
      </c>
      <c r="F644" s="14">
        <v>50.168900999999998</v>
      </c>
      <c r="G644" s="14">
        <v>51.44</v>
      </c>
      <c r="H644" s="14">
        <v>51.44</v>
      </c>
      <c r="I644" s="14">
        <v>4.5803190000000003</v>
      </c>
      <c r="J644" s="19">
        <v>0</v>
      </c>
    </row>
    <row r="645" spans="1:10" x14ac:dyDescent="0.25">
      <c r="A645" s="1" t="s">
        <v>184</v>
      </c>
      <c r="B645" s="4">
        <v>5.03</v>
      </c>
      <c r="C645" s="14">
        <v>56.842176000000002</v>
      </c>
      <c r="D645" s="14">
        <v>52.12</v>
      </c>
      <c r="E645" s="14">
        <v>60.350369000000001</v>
      </c>
      <c r="F645" s="14">
        <v>50.946517999999998</v>
      </c>
      <c r="G645" s="14">
        <v>52.12</v>
      </c>
      <c r="H645" s="14">
        <v>52.12</v>
      </c>
      <c r="I645" s="14">
        <v>4.6408670000000001</v>
      </c>
      <c r="J645" s="19">
        <v>0</v>
      </c>
    </row>
    <row r="646" spans="1:10" x14ac:dyDescent="0.25">
      <c r="A646" s="1" t="s">
        <v>185</v>
      </c>
      <c r="B646" s="4">
        <v>5.03</v>
      </c>
      <c r="C646" s="14">
        <v>58.490599000000003</v>
      </c>
      <c r="D646" s="14">
        <v>52.64</v>
      </c>
      <c r="E646" s="14">
        <v>61.026293000000003</v>
      </c>
      <c r="F646" s="14">
        <v>51.960352999999998</v>
      </c>
      <c r="G646" s="14">
        <v>52.64</v>
      </c>
      <c r="H646" s="14">
        <v>52.64</v>
      </c>
      <c r="I646" s="14">
        <v>4.6871689999999999</v>
      </c>
      <c r="J646" s="19">
        <v>0</v>
      </c>
    </row>
    <row r="647" spans="1:10" x14ac:dyDescent="0.25">
      <c r="A647" s="1" t="s">
        <v>186</v>
      </c>
      <c r="B647" s="4">
        <v>5.1100000000000003</v>
      </c>
      <c r="C647" s="14">
        <v>59.268523000000002</v>
      </c>
      <c r="D647" s="14">
        <v>53.25</v>
      </c>
      <c r="E647" s="14">
        <v>62.149175999999997</v>
      </c>
      <c r="F647" s="14">
        <v>52.859267000000003</v>
      </c>
      <c r="G647" s="14">
        <v>53.25</v>
      </c>
      <c r="H647" s="14">
        <v>53.25</v>
      </c>
      <c r="I647" s="14">
        <v>4.7414849999999999</v>
      </c>
      <c r="J647" s="19">
        <v>0</v>
      </c>
    </row>
    <row r="648" spans="1:10" x14ac:dyDescent="0.25">
      <c r="A648" s="1" t="s">
        <v>187</v>
      </c>
      <c r="B648" s="4">
        <v>5.1950000000000003</v>
      </c>
      <c r="C648" s="14">
        <v>60.299795000000003</v>
      </c>
      <c r="D648" s="14">
        <v>54.01</v>
      </c>
      <c r="E648" s="14">
        <v>63.274076000000001</v>
      </c>
      <c r="F648" s="14">
        <v>53.831876999999999</v>
      </c>
      <c r="G648" s="14">
        <v>54.01</v>
      </c>
      <c r="H648" s="14">
        <v>54.01</v>
      </c>
      <c r="I648" s="14">
        <v>4.8091559999999998</v>
      </c>
      <c r="J648" s="19">
        <v>0</v>
      </c>
    </row>
    <row r="649" spans="1:10" x14ac:dyDescent="0.25">
      <c r="A649" s="1" t="s">
        <v>188</v>
      </c>
      <c r="B649" s="4">
        <v>5.2850000000000001</v>
      </c>
      <c r="C649" s="14">
        <v>61.51182</v>
      </c>
      <c r="D649" s="14">
        <v>55.08</v>
      </c>
      <c r="E649" s="14">
        <v>63.944780999999999</v>
      </c>
      <c r="F649" s="14">
        <v>55.059243000000002</v>
      </c>
      <c r="G649" s="14">
        <v>55.08</v>
      </c>
      <c r="H649" s="14">
        <v>55.08</v>
      </c>
      <c r="I649" s="14">
        <v>4.9044309999999998</v>
      </c>
      <c r="J649" s="19">
        <v>0</v>
      </c>
    </row>
    <row r="650" spans="1:10" x14ac:dyDescent="0.25">
      <c r="A650" s="1" t="s">
        <v>189</v>
      </c>
      <c r="B650" s="4">
        <v>5.2850000000000001</v>
      </c>
      <c r="C650" s="14">
        <v>62.329926999999998</v>
      </c>
      <c r="D650" s="14">
        <v>56.18</v>
      </c>
      <c r="E650" s="14">
        <v>64.616201000000004</v>
      </c>
      <c r="F650" s="14">
        <v>55.879624999999997</v>
      </c>
      <c r="G650" s="14">
        <v>56.18</v>
      </c>
      <c r="H650" s="14">
        <v>56.18</v>
      </c>
      <c r="I650" s="14">
        <v>5.0023770000000001</v>
      </c>
      <c r="J650" s="19">
        <v>0</v>
      </c>
    </row>
    <row r="651" spans="1:10" x14ac:dyDescent="0.25">
      <c r="A651" s="1" t="s">
        <v>190</v>
      </c>
      <c r="B651" s="4">
        <v>5.4050000000000002</v>
      </c>
      <c r="C651" s="14">
        <v>63.208778000000002</v>
      </c>
      <c r="D651" s="14">
        <v>57.36</v>
      </c>
      <c r="E651" s="14">
        <v>65.062051999999994</v>
      </c>
      <c r="F651" s="14">
        <v>56.399304999999998</v>
      </c>
      <c r="G651" s="14">
        <v>57.36</v>
      </c>
      <c r="H651" s="14">
        <v>57.36</v>
      </c>
      <c r="I651" s="14">
        <v>5.1074469999999996</v>
      </c>
      <c r="J651" s="19">
        <v>0</v>
      </c>
    </row>
    <row r="652" spans="1:10" x14ac:dyDescent="0.25">
      <c r="A652" s="8" t="s">
        <v>191</v>
      </c>
      <c r="B652" s="4">
        <v>5.5049999999999999</v>
      </c>
      <c r="C652" s="14">
        <v>63.695484999999998</v>
      </c>
      <c r="D652" s="14">
        <v>58.61</v>
      </c>
      <c r="E652" s="14">
        <v>65.510980000000004</v>
      </c>
      <c r="F652" s="14">
        <v>57.211454000000003</v>
      </c>
      <c r="G652" s="14">
        <v>58.61</v>
      </c>
      <c r="H652" s="14">
        <v>58.61</v>
      </c>
      <c r="I652" s="14">
        <v>5.2187489999999999</v>
      </c>
      <c r="J652" s="19">
        <v>0</v>
      </c>
    </row>
    <row r="653" spans="1:10" x14ac:dyDescent="0.25">
      <c r="A653" s="1" t="s">
        <v>192</v>
      </c>
      <c r="B653" s="4">
        <v>5.5049999999999999</v>
      </c>
      <c r="C653" s="14">
        <v>64.453461000000004</v>
      </c>
      <c r="D653" s="14">
        <v>59.79</v>
      </c>
      <c r="E653" s="14">
        <v>65.733716999999999</v>
      </c>
      <c r="F653" s="14">
        <v>57.909433</v>
      </c>
      <c r="G653" s="14">
        <v>59.79</v>
      </c>
      <c r="H653" s="14">
        <v>59.79</v>
      </c>
      <c r="I653" s="14">
        <v>5.3238190000000003</v>
      </c>
      <c r="J653" s="19">
        <v>0</v>
      </c>
    </row>
    <row r="654" spans="1:10" x14ac:dyDescent="0.25">
      <c r="A654" s="1" t="s">
        <v>193</v>
      </c>
      <c r="B654" s="4">
        <v>5.6349999999999998</v>
      </c>
      <c r="C654" s="14">
        <v>65.284909999999996</v>
      </c>
      <c r="D654" s="14">
        <v>60.77</v>
      </c>
      <c r="E654" s="14">
        <v>65.957211000000001</v>
      </c>
      <c r="F654" s="14">
        <v>58.500109000000002</v>
      </c>
      <c r="G654" s="14">
        <v>60.77</v>
      </c>
      <c r="H654" s="14">
        <v>60.77</v>
      </c>
      <c r="I654" s="14">
        <v>5.4110800000000001</v>
      </c>
      <c r="J654" s="19">
        <v>0</v>
      </c>
    </row>
    <row r="655" spans="1:10" x14ac:dyDescent="0.25">
      <c r="A655" s="1" t="s">
        <v>194</v>
      </c>
      <c r="B655" s="4">
        <v>5.6349999999999998</v>
      </c>
      <c r="C655" s="14">
        <v>65.872473999999997</v>
      </c>
      <c r="D655" s="14">
        <v>61.52</v>
      </c>
      <c r="E655" s="14">
        <v>65.957211000000001</v>
      </c>
      <c r="F655" s="14">
        <v>58.991509000000001</v>
      </c>
      <c r="G655" s="14">
        <v>61.52</v>
      </c>
      <c r="H655" s="14">
        <v>61.52</v>
      </c>
      <c r="I655" s="14">
        <v>5.477862</v>
      </c>
      <c r="J655" s="19">
        <v>0</v>
      </c>
    </row>
    <row r="656" spans="1:10" x14ac:dyDescent="0.25">
      <c r="A656" s="1" t="s">
        <v>195</v>
      </c>
      <c r="B656" s="4">
        <v>5.6349999999999998</v>
      </c>
      <c r="C656" s="14">
        <v>67.348016999999999</v>
      </c>
      <c r="D656" s="14">
        <v>62.26</v>
      </c>
      <c r="E656" s="14">
        <v>66.432102</v>
      </c>
      <c r="F656" s="14">
        <v>59.970768</v>
      </c>
      <c r="G656" s="14">
        <v>62.26</v>
      </c>
      <c r="H656" s="14">
        <v>62.26</v>
      </c>
      <c r="I656" s="14">
        <v>5.5437529999999997</v>
      </c>
      <c r="J656" s="19">
        <v>0</v>
      </c>
    </row>
    <row r="657" spans="1:10" x14ac:dyDescent="0.25">
      <c r="A657" s="1" t="s">
        <v>196</v>
      </c>
      <c r="B657" s="4">
        <v>5.7850000000000001</v>
      </c>
      <c r="C657" s="14">
        <v>68.297623999999999</v>
      </c>
      <c r="D657" s="14">
        <v>63.09</v>
      </c>
      <c r="E657" s="14">
        <v>66.883840000000006</v>
      </c>
      <c r="F657" s="14">
        <v>61.152191999999999</v>
      </c>
      <c r="G657" s="14">
        <v>63.09</v>
      </c>
      <c r="H657" s="14">
        <v>63.09</v>
      </c>
      <c r="I657" s="14">
        <v>5.6176570000000003</v>
      </c>
      <c r="J657" s="19">
        <v>0</v>
      </c>
    </row>
    <row r="658" spans="1:10" x14ac:dyDescent="0.25">
      <c r="A658" s="1" t="s">
        <v>197</v>
      </c>
      <c r="B658" s="4">
        <v>5.7850000000000001</v>
      </c>
      <c r="C658" s="14">
        <v>68.980599999999995</v>
      </c>
      <c r="D658" s="14">
        <v>63.81</v>
      </c>
      <c r="E658" s="14">
        <v>69.351853000000006</v>
      </c>
      <c r="F658" s="14">
        <v>62.142856999999999</v>
      </c>
      <c r="G658" s="14">
        <v>63.81</v>
      </c>
      <c r="H658" s="14">
        <v>63.81</v>
      </c>
      <c r="I658" s="14">
        <v>5.6817679999999999</v>
      </c>
      <c r="J658" s="19">
        <v>0</v>
      </c>
    </row>
    <row r="659" spans="1:10" x14ac:dyDescent="0.25">
      <c r="A659" s="1" t="s">
        <v>198</v>
      </c>
      <c r="B659" s="4">
        <v>5.8449999999999998</v>
      </c>
      <c r="C659" s="14">
        <v>69.822163000000003</v>
      </c>
      <c r="D659" s="14">
        <v>64.66</v>
      </c>
      <c r="E659" s="14">
        <v>72.042704000000001</v>
      </c>
      <c r="F659" s="14">
        <v>62.813999000000003</v>
      </c>
      <c r="G659" s="14">
        <v>64.66</v>
      </c>
      <c r="H659" s="14">
        <v>64.66</v>
      </c>
      <c r="I659" s="14">
        <v>5.7574529999999999</v>
      </c>
      <c r="J659" s="19">
        <v>0</v>
      </c>
    </row>
    <row r="660" spans="1:10" x14ac:dyDescent="0.25">
      <c r="A660" s="1" t="s">
        <v>199</v>
      </c>
      <c r="B660" s="4">
        <v>5.915</v>
      </c>
      <c r="C660" s="14">
        <v>70.282989000000001</v>
      </c>
      <c r="D660" s="14">
        <v>65.75</v>
      </c>
      <c r="E660" s="14">
        <v>75.212581999999998</v>
      </c>
      <c r="F660" s="14">
        <v>63.354199000000001</v>
      </c>
      <c r="G660" s="14">
        <v>65.75</v>
      </c>
      <c r="H660" s="14">
        <v>65.75</v>
      </c>
      <c r="I660" s="14">
        <v>5.8545090000000002</v>
      </c>
      <c r="J660" s="19">
        <v>0</v>
      </c>
    </row>
    <row r="661" spans="1:10" x14ac:dyDescent="0.25">
      <c r="A661" s="1" t="s">
        <v>200</v>
      </c>
      <c r="B661" s="4">
        <v>5.915</v>
      </c>
      <c r="C661" s="14">
        <v>71.070158000000006</v>
      </c>
      <c r="D661" s="14">
        <v>66.930000000000007</v>
      </c>
      <c r="E661" s="14">
        <v>75.438219000000004</v>
      </c>
      <c r="F661" s="14">
        <v>64.032088000000002</v>
      </c>
      <c r="G661" s="14">
        <v>66.930000000000007</v>
      </c>
      <c r="H661" s="14">
        <v>66.930000000000007</v>
      </c>
      <c r="I661" s="14">
        <v>5.9595789999999997</v>
      </c>
      <c r="J661" s="19">
        <v>0</v>
      </c>
    </row>
    <row r="662" spans="1:10" x14ac:dyDescent="0.25">
      <c r="A662" s="1" t="s">
        <v>201</v>
      </c>
      <c r="B662" s="4">
        <v>5.9649999999999999</v>
      </c>
      <c r="C662" s="14">
        <v>72.718985000000004</v>
      </c>
      <c r="D662" s="14">
        <v>67.89</v>
      </c>
      <c r="E662" s="14">
        <v>76.335932999999997</v>
      </c>
      <c r="F662" s="14">
        <v>64.915729999999996</v>
      </c>
      <c r="G662" s="14">
        <v>67.89</v>
      </c>
      <c r="H662" s="14">
        <v>67.89</v>
      </c>
      <c r="I662" s="14">
        <v>6.0450590000000002</v>
      </c>
      <c r="J662" s="19">
        <v>0</v>
      </c>
    </row>
    <row r="663" spans="1:10" x14ac:dyDescent="0.25">
      <c r="A663" s="1" t="s">
        <v>202</v>
      </c>
      <c r="B663" s="4">
        <v>5.9649999999999999</v>
      </c>
      <c r="C663" s="14">
        <v>73.991567000000003</v>
      </c>
      <c r="D663" s="14">
        <v>68.459999999999994</v>
      </c>
      <c r="E663" s="14">
        <v>77.458071000000004</v>
      </c>
      <c r="F663" s="14">
        <v>65.844024000000005</v>
      </c>
      <c r="G663" s="14">
        <v>68.459999999999994</v>
      </c>
      <c r="H663" s="14">
        <v>68.459999999999994</v>
      </c>
      <c r="I663" s="14">
        <v>6.0958129999999997</v>
      </c>
      <c r="J663" s="19">
        <v>0</v>
      </c>
    </row>
    <row r="664" spans="1:10" x14ac:dyDescent="0.25">
      <c r="A664" s="8" t="s">
        <v>203</v>
      </c>
      <c r="B664" s="4">
        <v>6.0250000000000004</v>
      </c>
      <c r="C664" s="14">
        <v>75.138435999999999</v>
      </c>
      <c r="D664" s="14">
        <v>68.95</v>
      </c>
      <c r="E664" s="14">
        <v>78.131956000000002</v>
      </c>
      <c r="F664" s="14">
        <v>66.581477000000007</v>
      </c>
      <c r="G664" s="14">
        <v>68.95</v>
      </c>
      <c r="H664" s="14">
        <v>68.95</v>
      </c>
      <c r="I664" s="14">
        <v>6.139443</v>
      </c>
      <c r="J664" s="19">
        <v>0</v>
      </c>
    </row>
    <row r="665" spans="1:10" x14ac:dyDescent="0.25">
      <c r="A665" s="1" t="s">
        <v>204</v>
      </c>
      <c r="B665" s="4">
        <v>6.0949999999999998</v>
      </c>
      <c r="C665" s="14">
        <v>76.475899999999996</v>
      </c>
      <c r="D665" s="14">
        <v>69.61</v>
      </c>
      <c r="E665" s="14">
        <v>78.358537999999996</v>
      </c>
      <c r="F665" s="14">
        <v>67.207341999999997</v>
      </c>
      <c r="G665" s="14">
        <v>69.61</v>
      </c>
      <c r="H665" s="14">
        <v>69.61</v>
      </c>
      <c r="I665" s="14">
        <v>6.1982109999999997</v>
      </c>
      <c r="J665" s="19">
        <v>0</v>
      </c>
    </row>
    <row r="666" spans="1:10" x14ac:dyDescent="0.25">
      <c r="A666" s="1" t="s">
        <v>205</v>
      </c>
      <c r="B666" s="4">
        <v>6.13</v>
      </c>
      <c r="C666" s="14">
        <v>77.156535000000005</v>
      </c>
      <c r="D666" s="14">
        <v>70.069999999999993</v>
      </c>
      <c r="E666" s="14">
        <v>78.585776999999993</v>
      </c>
      <c r="F666" s="14">
        <v>67.792045000000002</v>
      </c>
      <c r="G666" s="14">
        <v>70.069999999999993</v>
      </c>
      <c r="H666" s="14">
        <v>70.069999999999993</v>
      </c>
      <c r="I666" s="14">
        <v>6.2391699999999997</v>
      </c>
      <c r="J666" s="19">
        <v>0</v>
      </c>
    </row>
    <row r="667" spans="1:10" x14ac:dyDescent="0.25">
      <c r="A667" s="1" t="s">
        <v>206</v>
      </c>
      <c r="B667" s="4">
        <v>6.18</v>
      </c>
      <c r="C667" s="14">
        <v>77.372573000000003</v>
      </c>
      <c r="D667" s="14">
        <v>70.87</v>
      </c>
      <c r="E667" s="14">
        <v>79.033715000000001</v>
      </c>
      <c r="F667" s="14">
        <v>68.273368000000005</v>
      </c>
      <c r="G667" s="14">
        <v>70.87</v>
      </c>
      <c r="H667" s="14">
        <v>70.87</v>
      </c>
      <c r="I667" s="14">
        <v>6.3104040000000001</v>
      </c>
      <c r="J667" s="19">
        <v>0</v>
      </c>
    </row>
    <row r="668" spans="1:10" x14ac:dyDescent="0.25">
      <c r="A668" s="1" t="s">
        <v>207</v>
      </c>
      <c r="B668" s="4">
        <v>6.2149999999999999</v>
      </c>
      <c r="C668" s="14">
        <v>78.308780999999996</v>
      </c>
      <c r="D668" s="14">
        <v>71.569999999999993</v>
      </c>
      <c r="E668" s="14">
        <v>80.377287999999993</v>
      </c>
      <c r="F668" s="14">
        <v>69.399878000000001</v>
      </c>
      <c r="G668" s="14">
        <v>71.569999999999993</v>
      </c>
      <c r="H668" s="14">
        <v>71.569999999999993</v>
      </c>
      <c r="I668" s="14">
        <v>6.3727330000000002</v>
      </c>
      <c r="J668" s="19">
        <v>0</v>
      </c>
    </row>
    <row r="669" spans="1:10" x14ac:dyDescent="0.25">
      <c r="A669" s="1" t="s">
        <v>208</v>
      </c>
      <c r="B669" s="4">
        <v>6.03</v>
      </c>
      <c r="C669" s="14">
        <v>79.170176999999995</v>
      </c>
      <c r="D669" s="14">
        <v>72.319999999999993</v>
      </c>
      <c r="E669" s="14">
        <v>81.277512999999999</v>
      </c>
      <c r="F669" s="14">
        <v>70.204915999999997</v>
      </c>
      <c r="G669" s="14">
        <v>72.319999999999993</v>
      </c>
      <c r="H669" s="14">
        <v>72.319999999999993</v>
      </c>
      <c r="I669" s="14">
        <v>6.4395150000000001</v>
      </c>
      <c r="J669" s="19">
        <v>0</v>
      </c>
    </row>
    <row r="670" spans="1:10" x14ac:dyDescent="0.25">
      <c r="A670" s="1" t="s">
        <v>209</v>
      </c>
      <c r="B670" s="4">
        <v>6.03</v>
      </c>
      <c r="C670" s="14">
        <v>80.428982000000005</v>
      </c>
      <c r="D670" s="14">
        <v>73.19</v>
      </c>
      <c r="E670" s="14">
        <v>82.846169000000003</v>
      </c>
      <c r="F670" s="14">
        <v>71.215866000000005</v>
      </c>
      <c r="G670" s="14">
        <v>73.19</v>
      </c>
      <c r="H670" s="14">
        <v>73.19</v>
      </c>
      <c r="I670" s="14">
        <v>6.5169810000000004</v>
      </c>
      <c r="J670" s="19">
        <v>0</v>
      </c>
    </row>
    <row r="671" spans="1:10" x14ac:dyDescent="0.25">
      <c r="A671" s="1" t="s">
        <v>210</v>
      </c>
      <c r="B671" s="4">
        <v>6.1</v>
      </c>
      <c r="C671" s="14">
        <v>81.796273999999997</v>
      </c>
      <c r="D671" s="14">
        <v>74.03</v>
      </c>
      <c r="E671" s="14">
        <v>86.019176999999999</v>
      </c>
      <c r="F671" s="14">
        <v>72.248496000000003</v>
      </c>
      <c r="G671" s="14">
        <v>74.03</v>
      </c>
      <c r="H671" s="14">
        <v>74.03</v>
      </c>
      <c r="I671" s="14">
        <v>6.5917770000000004</v>
      </c>
      <c r="J671" s="19">
        <v>0</v>
      </c>
    </row>
    <row r="672" spans="1:10" x14ac:dyDescent="0.25">
      <c r="A672" s="1" t="s">
        <v>211</v>
      </c>
      <c r="B672" s="4">
        <v>6.1</v>
      </c>
      <c r="C672" s="14">
        <v>82.458822999999995</v>
      </c>
      <c r="D672" s="14">
        <v>74.97</v>
      </c>
      <c r="E672" s="14">
        <v>88.040627000000001</v>
      </c>
      <c r="F672" s="14">
        <v>73.014330000000001</v>
      </c>
      <c r="G672" s="14">
        <v>74.97</v>
      </c>
      <c r="H672" s="14">
        <v>74.97</v>
      </c>
      <c r="I672" s="14">
        <v>6.6754759999999997</v>
      </c>
      <c r="J672" s="19">
        <v>0</v>
      </c>
    </row>
    <row r="673" spans="1:10" x14ac:dyDescent="0.25">
      <c r="A673" s="1" t="s">
        <v>212</v>
      </c>
      <c r="B673" s="4">
        <v>6.1</v>
      </c>
      <c r="C673" s="14">
        <v>83.102001000000001</v>
      </c>
      <c r="D673" s="14">
        <v>75.8</v>
      </c>
      <c r="E673" s="14">
        <v>88.938641000000004</v>
      </c>
      <c r="F673" s="14">
        <v>73.693363000000005</v>
      </c>
      <c r="G673" s="14">
        <v>75.8</v>
      </c>
      <c r="H673" s="14">
        <v>75.8</v>
      </c>
      <c r="I673" s="14">
        <v>6.7493809999999996</v>
      </c>
      <c r="J673" s="19">
        <v>0</v>
      </c>
    </row>
    <row r="674" spans="1:10" x14ac:dyDescent="0.25">
      <c r="A674" s="1" t="s">
        <v>213</v>
      </c>
      <c r="B674" s="4">
        <v>6.13</v>
      </c>
      <c r="C674" s="14">
        <v>83.999502000000007</v>
      </c>
      <c r="D674" s="14">
        <v>76.48</v>
      </c>
      <c r="E674" s="14">
        <v>89.836921000000004</v>
      </c>
      <c r="F674" s="14">
        <v>74.452404000000001</v>
      </c>
      <c r="G674" s="14">
        <v>76.48</v>
      </c>
      <c r="H674" s="14">
        <v>76.48</v>
      </c>
      <c r="I674" s="14">
        <v>6.8099290000000003</v>
      </c>
      <c r="J674" s="19">
        <v>0</v>
      </c>
    </row>
    <row r="675" spans="1:10" x14ac:dyDescent="0.25">
      <c r="A675" s="1" t="s">
        <v>214</v>
      </c>
      <c r="B675" s="4">
        <v>6.13</v>
      </c>
      <c r="C675" s="14">
        <v>84.898296000000002</v>
      </c>
      <c r="D675" s="14">
        <v>77.12</v>
      </c>
      <c r="E675" s="14">
        <v>90.735290000000006</v>
      </c>
      <c r="F675" s="14">
        <v>75.204373000000004</v>
      </c>
      <c r="G675" s="14">
        <v>77.12</v>
      </c>
      <c r="H675" s="14">
        <v>77.12</v>
      </c>
      <c r="I675" s="14">
        <v>6.8669159999999998</v>
      </c>
      <c r="J675" s="19">
        <v>0</v>
      </c>
    </row>
    <row r="676" spans="1:10" x14ac:dyDescent="0.25">
      <c r="A676" s="8" t="s">
        <v>215</v>
      </c>
      <c r="B676" s="4">
        <v>6.13</v>
      </c>
      <c r="C676" s="14">
        <v>85.951034000000007</v>
      </c>
      <c r="D676" s="14">
        <v>77.87</v>
      </c>
      <c r="E676" s="14">
        <v>91.633568999999994</v>
      </c>
      <c r="F676" s="14">
        <v>75.978977999999998</v>
      </c>
      <c r="G676" s="14">
        <v>77.87</v>
      </c>
      <c r="H676" s="14">
        <v>77.87</v>
      </c>
      <c r="I676" s="14">
        <v>6.9336979999999997</v>
      </c>
      <c r="J676" s="19">
        <v>0</v>
      </c>
    </row>
    <row r="677" spans="1:10" x14ac:dyDescent="0.25">
      <c r="A677" s="1" t="s">
        <v>216</v>
      </c>
      <c r="B677" s="4">
        <v>6.16</v>
      </c>
      <c r="C677" s="14">
        <v>86.913685000000001</v>
      </c>
      <c r="D677" s="14">
        <v>78.400000000000006</v>
      </c>
      <c r="E677" s="14">
        <v>93.457076999999998</v>
      </c>
      <c r="F677" s="14">
        <v>77.095867999999996</v>
      </c>
      <c r="G677" s="14">
        <v>78.400000000000006</v>
      </c>
      <c r="H677" s="14">
        <v>78.400000000000006</v>
      </c>
      <c r="I677" s="14">
        <v>6.9808899999999996</v>
      </c>
      <c r="J677" s="19">
        <v>0</v>
      </c>
    </row>
    <row r="678" spans="1:10" x14ac:dyDescent="0.25">
      <c r="A678" s="1" t="s">
        <v>217</v>
      </c>
      <c r="B678" s="4">
        <v>6.16</v>
      </c>
      <c r="C678" s="14">
        <v>87.721981999999997</v>
      </c>
      <c r="D678" s="14">
        <v>79.069999999999993</v>
      </c>
      <c r="E678" s="14">
        <v>94.578560999999993</v>
      </c>
      <c r="F678" s="14">
        <v>78.051856000000001</v>
      </c>
      <c r="G678" s="14">
        <v>79.069999999999993</v>
      </c>
      <c r="H678" s="14">
        <v>79.069999999999993</v>
      </c>
      <c r="I678" s="14">
        <v>7.0405480000000003</v>
      </c>
      <c r="J678" s="19">
        <v>0</v>
      </c>
    </row>
    <row r="679" spans="1:10" x14ac:dyDescent="0.25">
      <c r="A679" s="1" t="s">
        <v>218</v>
      </c>
      <c r="B679" s="4">
        <v>6.22</v>
      </c>
      <c r="C679" s="14">
        <v>88.178135999999995</v>
      </c>
      <c r="D679" s="14">
        <v>80.62</v>
      </c>
      <c r="E679" s="14">
        <v>95.477057000000002</v>
      </c>
      <c r="F679" s="14">
        <v>78.879204999999999</v>
      </c>
      <c r="G679" s="14">
        <v>80.62</v>
      </c>
      <c r="H679" s="14">
        <v>80.62</v>
      </c>
      <c r="I679" s="14">
        <v>7.1785629999999996</v>
      </c>
      <c r="J679" s="19">
        <v>0</v>
      </c>
    </row>
    <row r="680" spans="1:10" x14ac:dyDescent="0.25">
      <c r="A680" s="1" t="s">
        <v>219</v>
      </c>
      <c r="B680" s="4">
        <v>6.22</v>
      </c>
      <c r="C680" s="14">
        <v>89.007009999999994</v>
      </c>
      <c r="D680" s="14">
        <v>81.47</v>
      </c>
      <c r="E680" s="14">
        <v>97.949911999999998</v>
      </c>
      <c r="F680" s="14">
        <v>81.190365</v>
      </c>
      <c r="G680" s="14">
        <v>81.47</v>
      </c>
      <c r="H680" s="14">
        <v>81.47</v>
      </c>
      <c r="I680" s="14">
        <v>7.2542489999999997</v>
      </c>
      <c r="J680" s="19">
        <v>0</v>
      </c>
    </row>
    <row r="681" spans="1:10" x14ac:dyDescent="0.25">
      <c r="A681" s="1" t="s">
        <v>220</v>
      </c>
      <c r="B681" s="4">
        <v>6.34</v>
      </c>
      <c r="C681" s="14">
        <v>92.175658999999996</v>
      </c>
      <c r="D681" s="14">
        <v>82.69</v>
      </c>
      <c r="E681" s="14">
        <v>100.58476400000001</v>
      </c>
      <c r="F681" s="14">
        <v>83.350027999999995</v>
      </c>
      <c r="G681" s="14">
        <v>82.69</v>
      </c>
      <c r="H681" s="14">
        <v>82.69</v>
      </c>
      <c r="I681" s="14">
        <v>7.3628799999999996</v>
      </c>
      <c r="J681" s="19">
        <v>0</v>
      </c>
    </row>
    <row r="682" spans="1:10" x14ac:dyDescent="0.25">
      <c r="A682" s="1" t="s">
        <v>221</v>
      </c>
      <c r="B682" s="4">
        <v>6.4550000000000001</v>
      </c>
      <c r="C682" s="14">
        <v>96.010165999999998</v>
      </c>
      <c r="D682" s="14">
        <v>83.73</v>
      </c>
      <c r="E682" s="14">
        <v>104.648388</v>
      </c>
      <c r="F682" s="14">
        <v>87.109114000000005</v>
      </c>
      <c r="G682" s="14">
        <v>83.73</v>
      </c>
      <c r="H682" s="14">
        <v>83.73</v>
      </c>
      <c r="I682" s="14">
        <v>7.4554840000000002</v>
      </c>
      <c r="J682" s="19">
        <v>0</v>
      </c>
    </row>
    <row r="683" spans="1:10" x14ac:dyDescent="0.25">
      <c r="A683" s="1" t="s">
        <v>222</v>
      </c>
      <c r="B683" s="4">
        <v>6.5549999999999997</v>
      </c>
      <c r="C683" s="14">
        <v>100.92588600000001</v>
      </c>
      <c r="D683" s="14">
        <v>85.1</v>
      </c>
      <c r="E683" s="14">
        <v>108.918042</v>
      </c>
      <c r="F683" s="14">
        <v>91.586522000000002</v>
      </c>
      <c r="G683" s="14">
        <v>85.1</v>
      </c>
      <c r="H683" s="14">
        <v>85.1</v>
      </c>
      <c r="I683" s="14">
        <v>7.5774710000000001</v>
      </c>
      <c r="J683" s="19">
        <v>0</v>
      </c>
    </row>
    <row r="684" spans="1:10" x14ac:dyDescent="0.25">
      <c r="A684" s="1" t="s">
        <v>223</v>
      </c>
      <c r="B684" s="4">
        <v>6.5549999999999997</v>
      </c>
      <c r="C684" s="14">
        <v>102.803107</v>
      </c>
      <c r="D684" s="14">
        <v>86.91</v>
      </c>
      <c r="E684" s="14">
        <v>113.54705800000001</v>
      </c>
      <c r="F684" s="14">
        <v>94.801208000000003</v>
      </c>
      <c r="G684" s="14">
        <v>86.91</v>
      </c>
      <c r="H684" s="14">
        <v>86.91</v>
      </c>
      <c r="I684" s="14">
        <v>7.7386369999999998</v>
      </c>
      <c r="J684" s="19">
        <v>0</v>
      </c>
    </row>
    <row r="685" spans="1:10" x14ac:dyDescent="0.25">
      <c r="A685" s="1" t="s">
        <v>224</v>
      </c>
      <c r="B685" s="4">
        <v>6.68</v>
      </c>
      <c r="C685" s="14">
        <v>104.11898600000001</v>
      </c>
      <c r="D685" s="14">
        <v>89.8</v>
      </c>
      <c r="E685" s="14">
        <v>118.06623</v>
      </c>
      <c r="F685" s="14">
        <v>96.678270999999995</v>
      </c>
      <c r="G685" s="14">
        <v>89.8</v>
      </c>
      <c r="H685" s="14">
        <v>89.8</v>
      </c>
      <c r="I685" s="14">
        <v>7.9959680000000004</v>
      </c>
      <c r="J685" s="19">
        <v>0</v>
      </c>
    </row>
    <row r="686" spans="1:10" x14ac:dyDescent="0.25">
      <c r="A686" s="1" t="s">
        <v>225</v>
      </c>
      <c r="B686" s="4">
        <v>6.8849999999999998</v>
      </c>
      <c r="C686" s="14">
        <v>106.43042699999999</v>
      </c>
      <c r="D686" s="14">
        <v>93.75</v>
      </c>
      <c r="E686" s="14">
        <v>119.329538</v>
      </c>
      <c r="F686" s="14">
        <v>97.828742000000005</v>
      </c>
      <c r="G686" s="14">
        <v>93.75</v>
      </c>
      <c r="H686" s="14">
        <v>93.75</v>
      </c>
      <c r="I686" s="14">
        <v>8.3476839999999992</v>
      </c>
      <c r="J686" s="19">
        <v>0</v>
      </c>
    </row>
    <row r="687" spans="1:10" x14ac:dyDescent="0.25">
      <c r="A687" s="1" t="s">
        <v>226</v>
      </c>
      <c r="B687" s="4">
        <v>7.02</v>
      </c>
      <c r="C687" s="14">
        <v>108.50582</v>
      </c>
      <c r="D687" s="14">
        <v>98.22</v>
      </c>
      <c r="E687" s="14">
        <v>120.343839</v>
      </c>
      <c r="F687" s="14">
        <v>99.090732000000003</v>
      </c>
      <c r="G687" s="14">
        <v>98.22</v>
      </c>
      <c r="H687" s="14">
        <v>98.22</v>
      </c>
      <c r="I687" s="14">
        <v>8.7457019999999996</v>
      </c>
      <c r="J687" s="19">
        <v>0</v>
      </c>
    </row>
    <row r="688" spans="1:10" x14ac:dyDescent="0.25">
      <c r="A688" s="8" t="s">
        <v>227</v>
      </c>
      <c r="B688" s="4">
        <v>7.13</v>
      </c>
      <c r="C688" s="14">
        <v>110.252763</v>
      </c>
      <c r="D688" s="14">
        <v>101.9</v>
      </c>
      <c r="E688" s="14">
        <v>121.37879599999999</v>
      </c>
      <c r="F688" s="14">
        <v>100.73563799999999</v>
      </c>
      <c r="G688" s="14">
        <v>101.9</v>
      </c>
      <c r="H688" s="14">
        <v>101.9</v>
      </c>
      <c r="I688" s="14">
        <v>9.0733759999999997</v>
      </c>
      <c r="J688" s="19">
        <v>0</v>
      </c>
    </row>
    <row r="689" spans="1:10" x14ac:dyDescent="0.25">
      <c r="A689" s="1" t="s">
        <v>228</v>
      </c>
      <c r="B689" s="4">
        <v>7.22</v>
      </c>
      <c r="C689" s="14">
        <v>112.105009</v>
      </c>
      <c r="D689" s="14">
        <v>104.1</v>
      </c>
      <c r="E689" s="14">
        <v>122.38624</v>
      </c>
      <c r="F689" s="14">
        <v>102.246672</v>
      </c>
      <c r="G689" s="14">
        <v>104.1</v>
      </c>
      <c r="H689" s="14">
        <v>104.1</v>
      </c>
      <c r="I689" s="14">
        <v>9.2692680000000003</v>
      </c>
      <c r="J689" s="19">
        <v>0</v>
      </c>
    </row>
    <row r="690" spans="1:10" x14ac:dyDescent="0.25">
      <c r="A690" s="1" t="s">
        <v>229</v>
      </c>
      <c r="B690" s="4">
        <v>7.3250000000000002</v>
      </c>
      <c r="C690" s="14">
        <v>114.59374</v>
      </c>
      <c r="D690" s="14">
        <v>105.41</v>
      </c>
      <c r="E690" s="14">
        <v>124.12412399999999</v>
      </c>
      <c r="F690" s="14">
        <v>103.851944</v>
      </c>
      <c r="G690" s="14">
        <v>105.41</v>
      </c>
      <c r="H690" s="14">
        <v>105.41</v>
      </c>
      <c r="I690" s="14">
        <v>9.3859130000000004</v>
      </c>
      <c r="J690" s="19">
        <v>0</v>
      </c>
    </row>
    <row r="691" spans="1:10" x14ac:dyDescent="0.25">
      <c r="A691" s="1" t="s">
        <v>230</v>
      </c>
      <c r="B691" s="4">
        <v>7.4349999999999996</v>
      </c>
      <c r="C691" s="14">
        <v>117.321071</v>
      </c>
      <c r="D691" s="14">
        <v>106.76</v>
      </c>
      <c r="E691" s="14">
        <v>125.94874799999999</v>
      </c>
      <c r="F691" s="14">
        <v>106.136686</v>
      </c>
      <c r="G691" s="14">
        <v>106.76</v>
      </c>
      <c r="H691" s="14">
        <v>106.76</v>
      </c>
      <c r="I691" s="14">
        <v>9.5061199999999992</v>
      </c>
      <c r="J691" s="19">
        <v>0</v>
      </c>
    </row>
    <row r="692" spans="1:10" x14ac:dyDescent="0.25">
      <c r="A692" s="1" t="s">
        <v>231</v>
      </c>
      <c r="B692" s="4">
        <v>7.55</v>
      </c>
      <c r="C692" s="14">
        <v>120.582596</v>
      </c>
      <c r="D692" s="14">
        <v>108.38</v>
      </c>
      <c r="E692" s="14">
        <v>128.46772200000001</v>
      </c>
      <c r="F692" s="14">
        <v>108.503534</v>
      </c>
      <c r="G692" s="14">
        <v>108.38</v>
      </c>
      <c r="H692" s="14">
        <v>108.38</v>
      </c>
      <c r="I692" s="14">
        <v>9.6503680000000003</v>
      </c>
      <c r="J692" s="19">
        <v>0</v>
      </c>
    </row>
    <row r="693" spans="1:10" x14ac:dyDescent="0.25">
      <c r="A693" s="1" t="s">
        <v>232</v>
      </c>
      <c r="B693" s="4">
        <v>7.62</v>
      </c>
      <c r="C693" s="14">
        <v>123.488636</v>
      </c>
      <c r="D693" s="14">
        <v>110.18</v>
      </c>
      <c r="E693" s="14">
        <v>130.818681</v>
      </c>
      <c r="F693" s="14">
        <v>110.96656400000001</v>
      </c>
      <c r="G693" s="14">
        <v>110.18</v>
      </c>
      <c r="H693" s="14">
        <v>110.18</v>
      </c>
      <c r="I693" s="14">
        <v>9.8106439999999999</v>
      </c>
      <c r="J693" s="19">
        <v>0</v>
      </c>
    </row>
    <row r="694" spans="1:10" x14ac:dyDescent="0.25">
      <c r="A694" s="1" t="s">
        <v>233</v>
      </c>
      <c r="B694" s="4">
        <v>7.7350000000000003</v>
      </c>
      <c r="C694" s="14">
        <v>125.081639</v>
      </c>
      <c r="D694" s="14">
        <v>112.25</v>
      </c>
      <c r="E694" s="14">
        <v>135.86828199999999</v>
      </c>
      <c r="F694" s="14">
        <v>112.70873899999999</v>
      </c>
      <c r="G694" s="14">
        <v>112.25</v>
      </c>
      <c r="H694" s="14">
        <v>112.25</v>
      </c>
      <c r="I694" s="14">
        <v>9.9949600000000007</v>
      </c>
      <c r="J694" s="19">
        <v>0</v>
      </c>
    </row>
    <row r="695" spans="1:10" x14ac:dyDescent="0.25">
      <c r="A695" s="1" t="s">
        <v>234</v>
      </c>
      <c r="B695" s="4">
        <v>7.8449999999999998</v>
      </c>
      <c r="C695" s="14">
        <v>127.858451</v>
      </c>
      <c r="D695" s="14">
        <v>114.49</v>
      </c>
      <c r="E695" s="14">
        <v>138.898144</v>
      </c>
      <c r="F695" s="14">
        <v>114.726225</v>
      </c>
      <c r="G695" s="14">
        <v>114.49</v>
      </c>
      <c r="H695" s="14">
        <v>114.49</v>
      </c>
      <c r="I695" s="14">
        <v>10.194414</v>
      </c>
      <c r="J695" s="19">
        <v>0</v>
      </c>
    </row>
    <row r="696" spans="1:10" x14ac:dyDescent="0.25">
      <c r="A696" s="1" t="s">
        <v>235</v>
      </c>
      <c r="B696" s="4">
        <v>7.9749999999999996</v>
      </c>
      <c r="C696" s="14">
        <v>130.27497500000001</v>
      </c>
      <c r="D696" s="14">
        <v>117.13</v>
      </c>
      <c r="E696" s="14">
        <v>142.662283</v>
      </c>
      <c r="F696" s="14">
        <v>117.169893</v>
      </c>
      <c r="G696" s="14">
        <v>117.13</v>
      </c>
      <c r="H696" s="14">
        <v>117.13</v>
      </c>
      <c r="I696" s="14">
        <v>10.429485</v>
      </c>
      <c r="J696" s="19">
        <v>0</v>
      </c>
    </row>
    <row r="697" spans="1:10" x14ac:dyDescent="0.25">
      <c r="A697" s="1" t="s">
        <v>236</v>
      </c>
      <c r="B697" s="4">
        <v>8.07</v>
      </c>
      <c r="C697" s="14">
        <v>134.131114</v>
      </c>
      <c r="D697" s="14">
        <v>119.27</v>
      </c>
      <c r="E697" s="14">
        <v>144.11743799999999</v>
      </c>
      <c r="F697" s="14">
        <v>119.771064</v>
      </c>
      <c r="G697" s="14">
        <v>119.27</v>
      </c>
      <c r="H697" s="14">
        <v>119.27</v>
      </c>
      <c r="I697" s="14">
        <v>10.620035</v>
      </c>
      <c r="J697" s="19">
        <v>0</v>
      </c>
    </row>
    <row r="698" spans="1:10" x14ac:dyDescent="0.25">
      <c r="A698" s="1" t="s">
        <v>237</v>
      </c>
      <c r="B698" s="4">
        <v>8.1300000000000008</v>
      </c>
      <c r="C698" s="14">
        <v>136.84056200000001</v>
      </c>
      <c r="D698" s="14">
        <v>121.31</v>
      </c>
      <c r="E698" s="14">
        <v>146.27919900000001</v>
      </c>
      <c r="F698" s="14">
        <v>122.298233</v>
      </c>
      <c r="G698" s="14">
        <v>121.31</v>
      </c>
      <c r="H698" s="14">
        <v>121.31</v>
      </c>
      <c r="I698" s="14">
        <v>10.801681</v>
      </c>
      <c r="J698" s="19">
        <v>0</v>
      </c>
    </row>
    <row r="699" spans="1:10" x14ac:dyDescent="0.25">
      <c r="A699" s="1" t="s">
        <v>238</v>
      </c>
      <c r="B699" s="4">
        <v>8.2850000000000001</v>
      </c>
      <c r="C699" s="14">
        <v>141.3563</v>
      </c>
      <c r="D699" s="14">
        <v>123.2</v>
      </c>
      <c r="E699" s="14">
        <v>147.25926899999999</v>
      </c>
      <c r="F699" s="14">
        <v>125.710353</v>
      </c>
      <c r="G699" s="14">
        <v>123.2</v>
      </c>
      <c r="H699" s="14">
        <v>123.2</v>
      </c>
      <c r="I699" s="14">
        <v>10.96997</v>
      </c>
      <c r="J699" s="19">
        <v>0</v>
      </c>
    </row>
    <row r="700" spans="1:10" x14ac:dyDescent="0.25">
      <c r="A700" s="8" t="s">
        <v>239</v>
      </c>
      <c r="B700" s="4">
        <v>8.52</v>
      </c>
      <c r="C700" s="14">
        <v>144.05620500000001</v>
      </c>
      <c r="D700" s="14">
        <v>125.7</v>
      </c>
      <c r="E700" s="14">
        <v>149.05583200000001</v>
      </c>
      <c r="F700" s="14">
        <v>128.614262</v>
      </c>
      <c r="G700" s="14">
        <v>125.7</v>
      </c>
      <c r="H700" s="14">
        <v>125.7</v>
      </c>
      <c r="I700" s="14">
        <v>11.192575</v>
      </c>
      <c r="J700" s="19">
        <v>0</v>
      </c>
    </row>
    <row r="701" spans="1:10" x14ac:dyDescent="0.25">
      <c r="A701" s="1" t="s">
        <v>240</v>
      </c>
      <c r="B701" s="4">
        <v>8.67</v>
      </c>
      <c r="C701" s="14">
        <v>147.023762</v>
      </c>
      <c r="D701" s="14">
        <v>128.43</v>
      </c>
      <c r="E701" s="14">
        <v>150.36752300000001</v>
      </c>
      <c r="F701" s="14">
        <v>131.508082</v>
      </c>
      <c r="G701" s="14">
        <v>128.43</v>
      </c>
      <c r="H701" s="14">
        <v>128.43</v>
      </c>
      <c r="I701" s="14">
        <v>11.435658999999999</v>
      </c>
      <c r="J701" s="19">
        <v>0</v>
      </c>
    </row>
    <row r="702" spans="1:10" x14ac:dyDescent="0.25">
      <c r="A702" s="1" t="s">
        <v>241</v>
      </c>
      <c r="B702" s="4">
        <v>8.7750000000000004</v>
      </c>
      <c r="C702" s="14">
        <v>149.72899899999999</v>
      </c>
      <c r="D702" s="14">
        <v>130.93</v>
      </c>
      <c r="E702" s="14">
        <v>153.67560800000001</v>
      </c>
      <c r="F702" s="14">
        <v>134.33550500000001</v>
      </c>
      <c r="G702" s="14">
        <v>130.93</v>
      </c>
      <c r="H702" s="14">
        <v>130.93</v>
      </c>
      <c r="I702" s="14">
        <v>11.658264000000001</v>
      </c>
      <c r="J702" s="19">
        <v>0</v>
      </c>
    </row>
    <row r="703" spans="1:10" x14ac:dyDescent="0.25">
      <c r="A703" s="1" t="s">
        <v>242</v>
      </c>
      <c r="B703" s="4">
        <v>9.07</v>
      </c>
      <c r="C703" s="14">
        <v>151.67547500000001</v>
      </c>
      <c r="D703" s="14">
        <v>133.34</v>
      </c>
      <c r="E703" s="14">
        <v>156.288093</v>
      </c>
      <c r="F703" s="14">
        <v>137.26401899999999</v>
      </c>
      <c r="G703" s="14">
        <v>133.34</v>
      </c>
      <c r="H703" s="14">
        <v>133.34</v>
      </c>
      <c r="I703" s="14">
        <v>11.872854999999999</v>
      </c>
      <c r="J703" s="19">
        <v>0</v>
      </c>
    </row>
    <row r="704" spans="1:10" x14ac:dyDescent="0.25">
      <c r="A704" s="1" t="s">
        <v>243</v>
      </c>
      <c r="B704" s="4">
        <v>9.2449999999999992</v>
      </c>
      <c r="C704" s="14">
        <v>156.45325199999999</v>
      </c>
      <c r="D704" s="14">
        <v>135.9</v>
      </c>
      <c r="E704" s="14">
        <v>159.77331699999999</v>
      </c>
      <c r="F704" s="14">
        <v>141.50547700000001</v>
      </c>
      <c r="G704" s="14">
        <v>135.9</v>
      </c>
      <c r="H704" s="14">
        <v>135.9</v>
      </c>
      <c r="I704" s="14">
        <v>12.100803000000001</v>
      </c>
      <c r="J704" s="19">
        <v>0</v>
      </c>
    </row>
    <row r="705" spans="1:10" x14ac:dyDescent="0.25">
      <c r="A705" s="1" t="s">
        <v>244</v>
      </c>
      <c r="B705" s="4">
        <v>9.42</v>
      </c>
      <c r="C705" s="14">
        <v>165.18334300000001</v>
      </c>
      <c r="D705" s="14">
        <v>138.94</v>
      </c>
      <c r="E705" s="14">
        <v>165.748839</v>
      </c>
      <c r="F705" s="14">
        <v>147.37795399999999</v>
      </c>
      <c r="G705" s="14">
        <v>138.94</v>
      </c>
      <c r="H705" s="14">
        <v>138.94</v>
      </c>
      <c r="I705" s="14">
        <v>12.37149</v>
      </c>
      <c r="J705" s="19">
        <v>0</v>
      </c>
    </row>
    <row r="706" spans="1:10" x14ac:dyDescent="0.25">
      <c r="A706" s="1" t="s">
        <v>245</v>
      </c>
      <c r="B706" s="4">
        <v>9.6</v>
      </c>
      <c r="C706" s="14">
        <v>168.91648599999999</v>
      </c>
      <c r="D706" s="14">
        <v>142.24</v>
      </c>
      <c r="E706" s="14">
        <v>174.53352699999999</v>
      </c>
      <c r="F706" s="14">
        <v>152.81620000000001</v>
      </c>
      <c r="G706" s="14">
        <v>142.24</v>
      </c>
      <c r="H706" s="14">
        <v>142.24</v>
      </c>
      <c r="I706" s="14">
        <v>12.665329</v>
      </c>
      <c r="J706" s="19">
        <v>0</v>
      </c>
    </row>
    <row r="707" spans="1:10" x14ac:dyDescent="0.25">
      <c r="A707" s="1" t="s">
        <v>246</v>
      </c>
      <c r="B707" s="4">
        <v>10.27</v>
      </c>
      <c r="C707" s="14">
        <v>173.39277200000001</v>
      </c>
      <c r="D707" s="14">
        <v>145.83000000000001</v>
      </c>
      <c r="E707" s="14">
        <v>184.74373800000001</v>
      </c>
      <c r="F707" s="14">
        <v>158.56208899999999</v>
      </c>
      <c r="G707" s="14">
        <v>145.83000000000001</v>
      </c>
      <c r="H707" s="14">
        <v>145.83000000000001</v>
      </c>
      <c r="I707" s="14">
        <v>12.984989000000001</v>
      </c>
      <c r="J707" s="19">
        <v>0</v>
      </c>
    </row>
    <row r="708" spans="1:10" x14ac:dyDescent="0.25">
      <c r="A708" s="1" t="s">
        <v>247</v>
      </c>
      <c r="B708" s="4">
        <v>10.55</v>
      </c>
      <c r="C708" s="14">
        <v>177.72759099999999</v>
      </c>
      <c r="D708" s="14">
        <v>150.16999999999999</v>
      </c>
      <c r="E708" s="14">
        <v>194.75684799999999</v>
      </c>
      <c r="F708" s="14">
        <v>163.96905599999999</v>
      </c>
      <c r="G708" s="14">
        <v>150.16999999999999</v>
      </c>
      <c r="H708" s="14">
        <v>150.16999999999999</v>
      </c>
      <c r="I708" s="14">
        <v>13.371432</v>
      </c>
      <c r="J708" s="19">
        <v>0</v>
      </c>
    </row>
    <row r="709" spans="1:10" x14ac:dyDescent="0.25">
      <c r="A709" s="1" t="s">
        <v>248</v>
      </c>
      <c r="B709" s="4">
        <v>10.65</v>
      </c>
      <c r="C709" s="14">
        <v>180.94445999999999</v>
      </c>
      <c r="D709" s="14">
        <v>154.6</v>
      </c>
      <c r="E709" s="14">
        <v>204.61154400000001</v>
      </c>
      <c r="F709" s="14">
        <v>168.34702899999999</v>
      </c>
      <c r="G709" s="14">
        <v>154.6</v>
      </c>
      <c r="H709" s="14">
        <v>154.6</v>
      </c>
      <c r="I709" s="14">
        <v>13.765888</v>
      </c>
      <c r="J709" s="19">
        <v>0</v>
      </c>
    </row>
    <row r="710" spans="1:10" x14ac:dyDescent="0.25">
      <c r="A710" s="1" t="s">
        <v>249</v>
      </c>
      <c r="B710" s="4">
        <v>10.955</v>
      </c>
      <c r="C710" s="14">
        <v>184.63572600000001</v>
      </c>
      <c r="D710" s="14">
        <v>158.55000000000001</v>
      </c>
      <c r="E710" s="14">
        <v>214.801198</v>
      </c>
      <c r="F710" s="14">
        <v>174.76105000000001</v>
      </c>
      <c r="G710" s="14">
        <v>158.55000000000001</v>
      </c>
      <c r="H710" s="14">
        <v>158.55000000000001</v>
      </c>
      <c r="I710" s="14">
        <v>14.117603000000001</v>
      </c>
      <c r="J710" s="19">
        <v>0</v>
      </c>
    </row>
    <row r="711" spans="1:10" x14ac:dyDescent="0.25">
      <c r="A711" s="1" t="s">
        <v>250</v>
      </c>
      <c r="B711" s="4">
        <v>11.17</v>
      </c>
      <c r="C711" s="14">
        <v>191.13490300000001</v>
      </c>
      <c r="D711" s="14">
        <v>162.97</v>
      </c>
      <c r="E711" s="14">
        <v>223.50064599999999</v>
      </c>
      <c r="F711" s="14">
        <v>181.926253</v>
      </c>
      <c r="G711" s="14">
        <v>162.97</v>
      </c>
      <c r="H711" s="14">
        <v>162.97</v>
      </c>
      <c r="I711" s="14">
        <v>14.511169000000001</v>
      </c>
      <c r="J711" s="19">
        <v>0</v>
      </c>
    </row>
    <row r="712" spans="1:10" x14ac:dyDescent="0.25">
      <c r="A712" s="8" t="s">
        <v>251</v>
      </c>
      <c r="B712" s="4">
        <v>11.37</v>
      </c>
      <c r="C712" s="14">
        <v>196.21909099999999</v>
      </c>
      <c r="D712" s="14">
        <v>168.33</v>
      </c>
      <c r="E712" s="14">
        <v>232.37362100000001</v>
      </c>
      <c r="F712" s="14">
        <v>188.16632300000001</v>
      </c>
      <c r="G712" s="14">
        <v>168.33</v>
      </c>
      <c r="H712" s="14">
        <v>168.33</v>
      </c>
      <c r="I712" s="14">
        <v>14.988434</v>
      </c>
      <c r="J712" s="19">
        <v>0</v>
      </c>
    </row>
    <row r="713" spans="1:10" x14ac:dyDescent="0.25">
      <c r="A713" s="1" t="s">
        <v>252</v>
      </c>
      <c r="B713" s="4">
        <v>11.62</v>
      </c>
      <c r="C713" s="14">
        <v>200.77137300000001</v>
      </c>
      <c r="D713" s="14">
        <v>174.4</v>
      </c>
      <c r="E713" s="14">
        <v>238.04353699999999</v>
      </c>
      <c r="F713" s="14">
        <v>192.60704799999999</v>
      </c>
      <c r="G713" s="14">
        <v>174.4</v>
      </c>
      <c r="H713" s="14">
        <v>174.4</v>
      </c>
      <c r="I713" s="14">
        <v>15.528918000000001</v>
      </c>
      <c r="J713" s="19">
        <v>0</v>
      </c>
    </row>
    <row r="714" spans="1:10" x14ac:dyDescent="0.25">
      <c r="A714" s="1" t="s">
        <v>253</v>
      </c>
      <c r="B714" s="4">
        <v>12.055</v>
      </c>
      <c r="C714" s="14">
        <v>204.32502600000001</v>
      </c>
      <c r="D714" s="14">
        <v>179.68</v>
      </c>
      <c r="E714" s="14">
        <v>244.97060300000001</v>
      </c>
      <c r="F714" s="14">
        <v>196.266581</v>
      </c>
      <c r="G714" s="14">
        <v>179.68</v>
      </c>
      <c r="H714" s="14">
        <v>179.68</v>
      </c>
      <c r="I714" s="14">
        <v>15.99906</v>
      </c>
      <c r="J714" s="19">
        <v>0</v>
      </c>
    </row>
    <row r="715" spans="1:10" x14ac:dyDescent="0.25">
      <c r="A715" s="1" t="s">
        <v>254</v>
      </c>
      <c r="B715" s="4">
        <v>12.345000000000001</v>
      </c>
      <c r="C715" s="14">
        <v>209.39228600000001</v>
      </c>
      <c r="D715" s="14">
        <v>183.65</v>
      </c>
      <c r="E715" s="14">
        <v>247.91024999999999</v>
      </c>
      <c r="F715" s="14">
        <v>200.78071199999999</v>
      </c>
      <c r="G715" s="14">
        <v>183.65</v>
      </c>
      <c r="H715" s="14">
        <v>183.65</v>
      </c>
      <c r="I715" s="14">
        <v>16.352557000000001</v>
      </c>
      <c r="J715" s="19">
        <v>0</v>
      </c>
    </row>
    <row r="716" spans="1:10" x14ac:dyDescent="0.25">
      <c r="A716" s="1" t="s">
        <v>255</v>
      </c>
      <c r="B716" s="4">
        <v>12.59</v>
      </c>
      <c r="C716" s="14">
        <v>216.972286</v>
      </c>
      <c r="D716" s="14">
        <v>186.83</v>
      </c>
      <c r="E716" s="14">
        <v>256.98376500000001</v>
      </c>
      <c r="F716" s="14">
        <v>208.28990999999999</v>
      </c>
      <c r="G716" s="14">
        <v>186.83</v>
      </c>
      <c r="H716" s="14">
        <v>186.83</v>
      </c>
      <c r="I716" s="14">
        <v>16.63571</v>
      </c>
      <c r="J716" s="19">
        <v>0</v>
      </c>
    </row>
    <row r="717" spans="1:10" x14ac:dyDescent="0.25">
      <c r="A717" s="1" t="s">
        <v>256</v>
      </c>
      <c r="B717" s="4">
        <v>12.87</v>
      </c>
      <c r="C717" s="14">
        <v>225.62948</v>
      </c>
      <c r="D717" s="14">
        <v>190.51</v>
      </c>
      <c r="E717" s="14">
        <v>269.93574599999999</v>
      </c>
      <c r="F717" s="14">
        <v>214.89269999999999</v>
      </c>
      <c r="G717" s="14">
        <v>190.51</v>
      </c>
      <c r="H717" s="14">
        <v>190.51</v>
      </c>
      <c r="I717" s="14">
        <v>16.963384000000001</v>
      </c>
      <c r="J717" s="19">
        <v>0</v>
      </c>
    </row>
    <row r="718" spans="1:10" x14ac:dyDescent="0.25">
      <c r="A718" s="1" t="s">
        <v>257</v>
      </c>
      <c r="B718" s="4">
        <v>13.055</v>
      </c>
      <c r="C718" s="14">
        <v>236.45969500000001</v>
      </c>
      <c r="D718" s="14">
        <v>194.83</v>
      </c>
      <c r="E718" s="14">
        <v>278.49270899999999</v>
      </c>
      <c r="F718" s="14">
        <v>223.81074699999999</v>
      </c>
      <c r="G718" s="14">
        <v>194.83</v>
      </c>
      <c r="H718" s="14">
        <v>194.83</v>
      </c>
      <c r="I718" s="14">
        <v>17.348046</v>
      </c>
      <c r="J718" s="19">
        <v>0</v>
      </c>
    </row>
    <row r="719" spans="1:10" x14ac:dyDescent="0.25">
      <c r="A719" s="1" t="s">
        <v>258</v>
      </c>
      <c r="B719" s="4">
        <v>13.365</v>
      </c>
      <c r="C719" s="14">
        <v>246.93485899999999</v>
      </c>
      <c r="D719" s="14">
        <v>200.45</v>
      </c>
      <c r="E719" s="14">
        <v>292.36164500000001</v>
      </c>
      <c r="F719" s="14">
        <v>232.94222500000001</v>
      </c>
      <c r="G719" s="14">
        <v>200.45</v>
      </c>
      <c r="H719" s="14">
        <v>200.45</v>
      </c>
      <c r="I719" s="14">
        <v>17.848462000000001</v>
      </c>
      <c r="J719" s="19">
        <v>0</v>
      </c>
    </row>
    <row r="720" spans="1:10" x14ac:dyDescent="0.25">
      <c r="A720" s="1" t="s">
        <v>259</v>
      </c>
      <c r="B720" s="4">
        <v>13.7</v>
      </c>
      <c r="C720" s="14">
        <v>252.26865100000001</v>
      </c>
      <c r="D720" s="14">
        <v>206.9</v>
      </c>
      <c r="E720" s="14">
        <v>307.24285200000003</v>
      </c>
      <c r="F720" s="14">
        <v>241.28155599999999</v>
      </c>
      <c r="G720" s="14">
        <v>206.9</v>
      </c>
      <c r="H720" s="14">
        <v>206.9</v>
      </c>
      <c r="I720" s="14">
        <v>18.422782000000002</v>
      </c>
      <c r="J720" s="19">
        <v>0</v>
      </c>
    </row>
    <row r="721" spans="1:10" x14ac:dyDescent="0.25">
      <c r="A721" s="1" t="s">
        <v>260</v>
      </c>
      <c r="B721" s="4">
        <v>14.35</v>
      </c>
      <c r="C721" s="14">
        <v>258.75195500000001</v>
      </c>
      <c r="D721" s="14">
        <v>213.8</v>
      </c>
      <c r="E721" s="14">
        <v>313.694951</v>
      </c>
      <c r="F721" s="14">
        <v>246.01067399999999</v>
      </c>
      <c r="G721" s="14">
        <v>213.8</v>
      </c>
      <c r="H721" s="14">
        <v>213.8</v>
      </c>
      <c r="I721" s="14">
        <v>19.037172000000002</v>
      </c>
      <c r="J721" s="19">
        <v>0</v>
      </c>
    </row>
    <row r="722" spans="1:10" x14ac:dyDescent="0.25">
      <c r="A722" s="1" t="s">
        <v>261</v>
      </c>
      <c r="B722" s="4">
        <v>14.56</v>
      </c>
      <c r="C722" s="14">
        <v>263.74586699999998</v>
      </c>
      <c r="D722" s="14">
        <v>219.51</v>
      </c>
      <c r="E722" s="14">
        <v>319.87474099999997</v>
      </c>
      <c r="F722" s="14">
        <v>251.103094</v>
      </c>
      <c r="G722" s="14">
        <v>219.51</v>
      </c>
      <c r="H722" s="14">
        <v>219.51</v>
      </c>
      <c r="I722" s="14">
        <v>19.545601000000001</v>
      </c>
      <c r="J722" s="19">
        <v>0</v>
      </c>
    </row>
    <row r="723" spans="1:10" x14ac:dyDescent="0.25">
      <c r="A723" s="1" t="s">
        <v>262</v>
      </c>
      <c r="B723" s="4">
        <v>14.81</v>
      </c>
      <c r="C723" s="14">
        <v>267.88667700000002</v>
      </c>
      <c r="D723" s="14">
        <v>224.01</v>
      </c>
      <c r="E723" s="14">
        <v>325.21664900000002</v>
      </c>
      <c r="F723" s="14">
        <v>254.367434</v>
      </c>
      <c r="G723" s="14">
        <v>224.01</v>
      </c>
      <c r="H723" s="14">
        <v>224.01</v>
      </c>
      <c r="I723" s="14">
        <v>19.946290000000001</v>
      </c>
      <c r="J723" s="19">
        <v>0</v>
      </c>
    </row>
    <row r="724" spans="1:10" x14ac:dyDescent="0.25">
      <c r="A724" s="8" t="s">
        <v>263</v>
      </c>
      <c r="B724" s="4">
        <v>15.02</v>
      </c>
      <c r="C724" s="14">
        <v>273.21762100000001</v>
      </c>
      <c r="D724" s="14">
        <v>227.15</v>
      </c>
      <c r="E724" s="14">
        <v>331.10307</v>
      </c>
      <c r="F724" s="14">
        <v>258.86973699999999</v>
      </c>
      <c r="G724" s="14">
        <v>227.15</v>
      </c>
      <c r="H724" s="14">
        <v>227.15</v>
      </c>
      <c r="I724" s="14">
        <v>20.225881999999999</v>
      </c>
      <c r="J724" s="19">
        <v>0</v>
      </c>
    </row>
    <row r="725" spans="1:10" x14ac:dyDescent="0.25">
      <c r="A725" s="1" t="s">
        <v>264</v>
      </c>
      <c r="B725" s="4">
        <v>15.275</v>
      </c>
      <c r="C725" s="14">
        <v>279.39233899999999</v>
      </c>
      <c r="D725" s="14">
        <v>230.3</v>
      </c>
      <c r="E725" s="14">
        <v>346.830465</v>
      </c>
      <c r="F725" s="14">
        <v>265.96276699999999</v>
      </c>
      <c r="G725" s="14">
        <v>230.3</v>
      </c>
      <c r="H725" s="14">
        <v>230.3</v>
      </c>
      <c r="I725" s="14">
        <v>20.506364000000001</v>
      </c>
      <c r="J725" s="19">
        <v>0</v>
      </c>
    </row>
    <row r="726" spans="1:10" x14ac:dyDescent="0.25">
      <c r="A726" s="1" t="s">
        <v>265</v>
      </c>
      <c r="B726" s="4">
        <v>15.535</v>
      </c>
      <c r="C726" s="14">
        <v>287.38295900000003</v>
      </c>
      <c r="D726" s="14">
        <v>233.74</v>
      </c>
      <c r="E726" s="14">
        <v>353.83643999999998</v>
      </c>
      <c r="F726" s="14">
        <v>272.90439500000002</v>
      </c>
      <c r="G726" s="14">
        <v>233.74</v>
      </c>
      <c r="H726" s="14">
        <v>233.74</v>
      </c>
      <c r="I726" s="14">
        <v>20.812667999999999</v>
      </c>
      <c r="J726" s="19">
        <v>0</v>
      </c>
    </row>
    <row r="727" spans="1:10" x14ac:dyDescent="0.25">
      <c r="A727" s="1" t="s">
        <v>266</v>
      </c>
      <c r="B727" s="4">
        <v>15.8</v>
      </c>
      <c r="C727" s="14">
        <v>295.42968100000002</v>
      </c>
      <c r="D727" s="14">
        <v>238.32</v>
      </c>
      <c r="E727" s="14">
        <v>358.89630099999999</v>
      </c>
      <c r="F727" s="14">
        <v>278.66267699999997</v>
      </c>
      <c r="G727" s="14">
        <v>238.32</v>
      </c>
      <c r="H727" s="14">
        <v>238.32</v>
      </c>
      <c r="I727" s="14">
        <v>21.220480999999999</v>
      </c>
      <c r="J727" s="19">
        <v>0</v>
      </c>
    </row>
    <row r="728" spans="1:10" x14ac:dyDescent="0.25">
      <c r="A728" s="1" t="s">
        <v>267</v>
      </c>
      <c r="B728" s="4">
        <v>16.25</v>
      </c>
      <c r="C728" s="14">
        <v>300.59969999999998</v>
      </c>
      <c r="D728" s="14">
        <v>243.35</v>
      </c>
      <c r="E728" s="14">
        <v>365.35643399999998</v>
      </c>
      <c r="F728" s="14">
        <v>286.07510400000001</v>
      </c>
      <c r="G728" s="14">
        <v>243.35</v>
      </c>
      <c r="H728" s="14">
        <v>243.35</v>
      </c>
      <c r="I728" s="14">
        <v>21.668361999999998</v>
      </c>
      <c r="J728" s="19">
        <v>0</v>
      </c>
    </row>
    <row r="729" spans="1:10" x14ac:dyDescent="0.25">
      <c r="A729" s="1" t="s">
        <v>268</v>
      </c>
      <c r="B729" s="4">
        <v>16.495000000000001</v>
      </c>
      <c r="C729" s="14">
        <v>312.20284800000002</v>
      </c>
      <c r="D729" s="14">
        <v>248.99</v>
      </c>
      <c r="E729" s="14">
        <v>372.37127700000002</v>
      </c>
      <c r="F729" s="14">
        <v>295.80165699999998</v>
      </c>
      <c r="G729" s="14">
        <v>248.99</v>
      </c>
      <c r="H729" s="14">
        <v>248.99</v>
      </c>
      <c r="I729" s="14">
        <v>22.170558</v>
      </c>
      <c r="J729" s="19">
        <v>0</v>
      </c>
    </row>
    <row r="730" spans="1:10" x14ac:dyDescent="0.25">
      <c r="A730" s="1" t="s">
        <v>269</v>
      </c>
      <c r="B730" s="4">
        <v>16.63</v>
      </c>
      <c r="C730" s="14">
        <v>320.16401999999999</v>
      </c>
      <c r="D730" s="14">
        <v>255.41</v>
      </c>
      <c r="E730" s="14">
        <v>388.94179800000001</v>
      </c>
      <c r="F730" s="14">
        <v>305.56311099999999</v>
      </c>
      <c r="G730" s="14">
        <v>255.41</v>
      </c>
      <c r="H730" s="14">
        <v>255.41</v>
      </c>
      <c r="I730" s="14">
        <v>22.742208000000002</v>
      </c>
      <c r="J730" s="19">
        <v>0</v>
      </c>
    </row>
    <row r="731" spans="1:10" x14ac:dyDescent="0.25">
      <c r="A731" s="1" t="s">
        <v>270</v>
      </c>
      <c r="B731" s="4">
        <v>17.265000000000001</v>
      </c>
      <c r="C731" s="14">
        <v>326.11907000000002</v>
      </c>
      <c r="D731" s="14">
        <v>262.87</v>
      </c>
      <c r="E731" s="14">
        <v>409.12787700000001</v>
      </c>
      <c r="F731" s="14">
        <v>315.83003100000002</v>
      </c>
      <c r="G731" s="14">
        <v>262.87</v>
      </c>
      <c r="H731" s="14">
        <v>262.87</v>
      </c>
      <c r="I731" s="14">
        <v>23.406461</v>
      </c>
      <c r="J731" s="19">
        <v>0</v>
      </c>
    </row>
    <row r="732" spans="1:10" x14ac:dyDescent="0.25">
      <c r="A732" s="1" t="s">
        <v>271</v>
      </c>
      <c r="B732" s="4">
        <v>17.37</v>
      </c>
      <c r="C732" s="14">
        <v>335.64174600000001</v>
      </c>
      <c r="D732" s="14">
        <v>270.88</v>
      </c>
      <c r="E732" s="14">
        <v>417.55591099999998</v>
      </c>
      <c r="F732" s="14">
        <v>325.96817399999998</v>
      </c>
      <c r="G732" s="14">
        <v>270.88</v>
      </c>
      <c r="H732" s="14">
        <v>270.88</v>
      </c>
      <c r="I732" s="14">
        <v>24.119686999999999</v>
      </c>
      <c r="J732" s="19">
        <v>0</v>
      </c>
    </row>
    <row r="733" spans="1:10" x14ac:dyDescent="0.25">
      <c r="A733" s="1" t="s">
        <v>272</v>
      </c>
      <c r="B733" s="4">
        <v>18.03</v>
      </c>
      <c r="C733" s="14">
        <v>352.423833</v>
      </c>
      <c r="D733" s="14">
        <v>279.04000000000002</v>
      </c>
      <c r="E733" s="14">
        <v>427.95305300000001</v>
      </c>
      <c r="F733" s="14">
        <v>337.80081799999999</v>
      </c>
      <c r="G733" s="14">
        <v>279.04000000000002</v>
      </c>
      <c r="H733" s="14">
        <v>279.04000000000002</v>
      </c>
      <c r="I733" s="14">
        <v>24.846268999999999</v>
      </c>
      <c r="J733" s="19">
        <v>0</v>
      </c>
    </row>
    <row r="734" spans="1:10" x14ac:dyDescent="0.25">
      <c r="A734" s="1" t="s">
        <v>273</v>
      </c>
      <c r="B734" s="4">
        <v>18.41</v>
      </c>
      <c r="C734" s="14">
        <v>367.29611799999998</v>
      </c>
      <c r="D734" s="14">
        <v>287.58</v>
      </c>
      <c r="E734" s="14">
        <v>437.19683800000001</v>
      </c>
      <c r="F734" s="14">
        <v>347.32680099999999</v>
      </c>
      <c r="G734" s="14">
        <v>287.58</v>
      </c>
      <c r="H734" s="14">
        <v>287.58</v>
      </c>
      <c r="I734" s="14">
        <v>25.606687999999998</v>
      </c>
      <c r="J734" s="19">
        <v>0</v>
      </c>
    </row>
    <row r="735" spans="1:10" x14ac:dyDescent="0.25">
      <c r="A735" s="1" t="s">
        <v>274</v>
      </c>
      <c r="B735" s="4">
        <v>18.684999999999999</v>
      </c>
      <c r="C735" s="14">
        <v>376.956005</v>
      </c>
      <c r="D735" s="14">
        <v>295.57</v>
      </c>
      <c r="E735" s="14">
        <v>448.126758</v>
      </c>
      <c r="F735" s="14">
        <v>356.60042600000003</v>
      </c>
      <c r="G735" s="14">
        <v>295.57</v>
      </c>
      <c r="H735" s="14">
        <v>295.57</v>
      </c>
      <c r="I735" s="14">
        <v>26.318133</v>
      </c>
      <c r="J735" s="19">
        <v>0</v>
      </c>
    </row>
    <row r="736" spans="1:10" x14ac:dyDescent="0.25">
      <c r="A736" s="8" t="s">
        <v>275</v>
      </c>
      <c r="B736" s="4">
        <v>19.25</v>
      </c>
      <c r="C736" s="14">
        <v>386.19142699999998</v>
      </c>
      <c r="D736" s="14">
        <v>303.29000000000002</v>
      </c>
      <c r="E736" s="14">
        <v>462.42200100000002</v>
      </c>
      <c r="F736" s="14">
        <v>365.693736</v>
      </c>
      <c r="G736" s="14">
        <v>303.29000000000002</v>
      </c>
      <c r="H736" s="14">
        <v>303.29000000000002</v>
      </c>
      <c r="I736" s="14">
        <v>27.005537</v>
      </c>
      <c r="J736" s="19">
        <v>0</v>
      </c>
    </row>
    <row r="737" spans="1:10" x14ac:dyDescent="0.25">
      <c r="A737" s="1" t="s">
        <v>276</v>
      </c>
      <c r="B737" s="4">
        <v>19.64</v>
      </c>
      <c r="C737" s="14">
        <v>396.61859500000003</v>
      </c>
      <c r="D737" s="14">
        <v>310.49</v>
      </c>
      <c r="E737" s="14">
        <v>471.67044099999998</v>
      </c>
      <c r="F737" s="14">
        <v>376.18914599999999</v>
      </c>
      <c r="G737" s="14">
        <v>310.49</v>
      </c>
      <c r="H737" s="14">
        <v>310.49</v>
      </c>
      <c r="I737" s="14">
        <v>27.646639</v>
      </c>
      <c r="J737" s="19">
        <v>0</v>
      </c>
    </row>
    <row r="738" spans="1:10" x14ac:dyDescent="0.25">
      <c r="A738" s="1" t="s">
        <v>277</v>
      </c>
      <c r="B738" s="4">
        <v>20.05</v>
      </c>
      <c r="C738" s="14">
        <v>406.57372099999998</v>
      </c>
      <c r="D738" s="14">
        <v>318.44</v>
      </c>
      <c r="E738" s="14">
        <v>483.46220199999999</v>
      </c>
      <c r="F738" s="14">
        <v>386.53434700000003</v>
      </c>
      <c r="G738" s="14">
        <v>318.44</v>
      </c>
      <c r="H738" s="14">
        <v>318.44</v>
      </c>
      <c r="I738" s="14">
        <v>28.354523</v>
      </c>
      <c r="J738" s="19">
        <v>0</v>
      </c>
    </row>
    <row r="739" spans="1:10" x14ac:dyDescent="0.25">
      <c r="A739" s="1" t="s">
        <v>278</v>
      </c>
      <c r="B739" s="4">
        <v>20.47</v>
      </c>
      <c r="C739" s="14">
        <v>413.28218700000002</v>
      </c>
      <c r="D739" s="14">
        <v>326.82</v>
      </c>
      <c r="E739" s="14">
        <v>491.58436599999999</v>
      </c>
      <c r="F739" s="14">
        <v>392.40966900000001</v>
      </c>
      <c r="G739" s="14">
        <v>326.82</v>
      </c>
      <c r="H739" s="14">
        <v>326.82</v>
      </c>
      <c r="I739" s="14">
        <v>29.100694000000001</v>
      </c>
      <c r="J739" s="19">
        <v>0</v>
      </c>
    </row>
    <row r="740" spans="1:10" x14ac:dyDescent="0.25">
      <c r="A740" s="1" t="s">
        <v>279</v>
      </c>
      <c r="B740" s="4">
        <v>21.26</v>
      </c>
      <c r="C740" s="14">
        <v>430.35074100000003</v>
      </c>
      <c r="D740" s="14">
        <v>334.2</v>
      </c>
      <c r="E740" s="14">
        <v>503.08744000000002</v>
      </c>
      <c r="F740" s="14">
        <v>406.85034400000001</v>
      </c>
      <c r="G740" s="14">
        <v>334.2</v>
      </c>
      <c r="H740" s="14">
        <v>334.2</v>
      </c>
      <c r="I740" s="14">
        <v>29.757823999999999</v>
      </c>
      <c r="J740" s="19">
        <v>0</v>
      </c>
    </row>
    <row r="741" spans="1:10" x14ac:dyDescent="0.25">
      <c r="A741" s="1" t="s">
        <v>280</v>
      </c>
      <c r="B741" s="4">
        <v>22.25</v>
      </c>
      <c r="C741" s="14">
        <v>439.56024600000001</v>
      </c>
      <c r="D741" s="14">
        <v>341.97</v>
      </c>
      <c r="E741" s="14">
        <v>516.26832999999999</v>
      </c>
      <c r="F741" s="14">
        <v>422.10723100000001</v>
      </c>
      <c r="G741" s="14">
        <v>341.97</v>
      </c>
      <c r="H741" s="14">
        <v>341.97</v>
      </c>
      <c r="I741" s="14">
        <v>30.449680000000001</v>
      </c>
      <c r="J741" s="19">
        <v>0</v>
      </c>
    </row>
    <row r="742" spans="1:10" x14ac:dyDescent="0.25">
      <c r="A742" s="1" t="s">
        <v>281</v>
      </c>
      <c r="B742" s="4">
        <v>22.72</v>
      </c>
      <c r="C742" s="14">
        <v>465.53825599999999</v>
      </c>
      <c r="D742" s="14">
        <v>350.51</v>
      </c>
      <c r="E742" s="14">
        <v>558.34419800000001</v>
      </c>
      <c r="F742" s="14">
        <v>446.46281800000003</v>
      </c>
      <c r="G742" s="14">
        <v>350.51</v>
      </c>
      <c r="H742" s="14">
        <v>350.51</v>
      </c>
      <c r="I742" s="14">
        <v>31.210099</v>
      </c>
      <c r="J742" s="19">
        <v>0</v>
      </c>
    </row>
    <row r="743" spans="1:10" x14ac:dyDescent="0.25">
      <c r="A743" s="1" t="s">
        <v>282</v>
      </c>
      <c r="B743" s="4">
        <v>23.79</v>
      </c>
      <c r="C743" s="14">
        <v>481.180341</v>
      </c>
      <c r="D743" s="14">
        <v>363.64</v>
      </c>
      <c r="E743" s="14">
        <v>578.55625699999996</v>
      </c>
      <c r="F743" s="14">
        <v>463.294466</v>
      </c>
      <c r="G743" s="14">
        <v>363.64</v>
      </c>
      <c r="H743" s="14">
        <v>363.64</v>
      </c>
      <c r="I743" s="14">
        <v>32.379218999999999</v>
      </c>
      <c r="J743" s="19">
        <v>0</v>
      </c>
    </row>
    <row r="744" spans="1:10" x14ac:dyDescent="0.25">
      <c r="A744" s="1" t="s">
        <v>283</v>
      </c>
      <c r="B744" s="4">
        <v>24.774999999999999</v>
      </c>
      <c r="C744" s="14">
        <v>491.23701</v>
      </c>
      <c r="D744" s="14">
        <v>377.54</v>
      </c>
      <c r="E744" s="14">
        <v>603.26060900000004</v>
      </c>
      <c r="F744" s="14">
        <v>474.13555600000001</v>
      </c>
      <c r="G744" s="14">
        <v>377.54</v>
      </c>
      <c r="H744" s="14">
        <v>377.54</v>
      </c>
      <c r="I744" s="14">
        <v>33.616903000000001</v>
      </c>
      <c r="J744" s="19">
        <v>0</v>
      </c>
    </row>
    <row r="745" spans="1:10" x14ac:dyDescent="0.25">
      <c r="A745" s="1" t="s">
        <v>284</v>
      </c>
      <c r="B745" s="4">
        <v>25.655000000000001</v>
      </c>
      <c r="C745" s="14">
        <v>512.55669599999999</v>
      </c>
      <c r="D745" s="14">
        <v>390.1</v>
      </c>
      <c r="E745" s="14">
        <v>624.55570799999998</v>
      </c>
      <c r="F745" s="14">
        <v>490.49323199999998</v>
      </c>
      <c r="G745" s="14">
        <v>390.1</v>
      </c>
      <c r="H745" s="14">
        <v>390.1</v>
      </c>
      <c r="I745" s="14">
        <v>34.73527</v>
      </c>
      <c r="J745" s="19">
        <v>0</v>
      </c>
    </row>
    <row r="746" spans="1:10" x14ac:dyDescent="0.25">
      <c r="A746" s="1" t="s">
        <v>285</v>
      </c>
      <c r="B746" s="4">
        <v>26.114999999999998</v>
      </c>
      <c r="C746" s="14">
        <v>534.85291199999995</v>
      </c>
      <c r="D746" s="14">
        <v>400.71</v>
      </c>
      <c r="E746" s="14">
        <v>635.23560999999995</v>
      </c>
      <c r="F746" s="14">
        <v>511.878736</v>
      </c>
      <c r="G746" s="14">
        <v>400.71</v>
      </c>
      <c r="H746" s="14">
        <v>400.71</v>
      </c>
      <c r="I746" s="14">
        <v>35.680005000000001</v>
      </c>
      <c r="J746" s="19">
        <v>0</v>
      </c>
    </row>
    <row r="747" spans="1:10" x14ac:dyDescent="0.25">
      <c r="A747" s="1" t="s">
        <v>286</v>
      </c>
      <c r="B747" s="4">
        <v>26.81</v>
      </c>
      <c r="C747" s="14">
        <v>553.03791100000001</v>
      </c>
      <c r="D747" s="14">
        <v>412.24</v>
      </c>
      <c r="E747" s="14">
        <v>658.80285100000003</v>
      </c>
      <c r="F747" s="14">
        <v>541.72126600000001</v>
      </c>
      <c r="G747" s="14">
        <v>412.24</v>
      </c>
      <c r="H747" s="14">
        <v>412.24</v>
      </c>
      <c r="I747" s="14">
        <v>36.706659000000002</v>
      </c>
      <c r="J747" s="19">
        <v>0</v>
      </c>
    </row>
    <row r="748" spans="1:10" x14ac:dyDescent="0.25">
      <c r="A748" s="8" t="s">
        <v>287</v>
      </c>
      <c r="B748" s="4">
        <v>29.215</v>
      </c>
      <c r="C748" s="14">
        <v>588.70885599999997</v>
      </c>
      <c r="D748" s="14">
        <v>428.8</v>
      </c>
      <c r="E748" s="14">
        <v>726.39602300000001</v>
      </c>
      <c r="F748" s="14">
        <v>583.37963100000002</v>
      </c>
      <c r="G748" s="14">
        <v>428.8</v>
      </c>
      <c r="H748" s="14">
        <v>428.8</v>
      </c>
      <c r="I748" s="14">
        <v>38.181193999999998</v>
      </c>
      <c r="J748" s="19">
        <v>0</v>
      </c>
    </row>
    <row r="749" spans="1:10" x14ac:dyDescent="0.25">
      <c r="A749" s="1" t="s">
        <v>288</v>
      </c>
      <c r="B749" s="4">
        <v>30.414999999999999</v>
      </c>
      <c r="C749" s="14">
        <v>616.37817199999995</v>
      </c>
      <c r="D749" s="14">
        <v>448.47</v>
      </c>
      <c r="E749" s="14">
        <v>744.33800399999996</v>
      </c>
      <c r="F749" s="14">
        <v>614.00706100000002</v>
      </c>
      <c r="G749" s="14">
        <v>448.47</v>
      </c>
      <c r="H749" s="14">
        <v>448.47</v>
      </c>
      <c r="I749" s="14">
        <v>39.932648999999998</v>
      </c>
      <c r="J749" s="19">
        <v>0</v>
      </c>
    </row>
    <row r="750" spans="1:10" x14ac:dyDescent="0.25">
      <c r="A750" s="1" t="s">
        <v>289</v>
      </c>
      <c r="B750" s="4">
        <v>32.04</v>
      </c>
      <c r="C750" s="14">
        <v>645.47122100000001</v>
      </c>
      <c r="D750" s="14">
        <v>468.71</v>
      </c>
      <c r="E750" s="14">
        <v>772.92058299999997</v>
      </c>
      <c r="F750" s="14">
        <v>648.20725400000003</v>
      </c>
      <c r="G750" s="14">
        <v>468.71</v>
      </c>
      <c r="H750" s="14">
        <v>468.71</v>
      </c>
      <c r="I750" s="14">
        <v>41.734859</v>
      </c>
      <c r="J750" s="19">
        <v>0</v>
      </c>
    </row>
    <row r="751" spans="1:10" x14ac:dyDescent="0.25">
      <c r="A751" s="1" t="s">
        <v>290</v>
      </c>
      <c r="B751" s="4">
        <v>42.53</v>
      </c>
      <c r="C751" s="14">
        <v>691.04148899999996</v>
      </c>
      <c r="D751" s="14">
        <v>487.83</v>
      </c>
      <c r="E751" s="14">
        <v>801.28676800000005</v>
      </c>
      <c r="F751" s="14">
        <v>695.52638300000001</v>
      </c>
      <c r="G751" s="14">
        <v>487.83</v>
      </c>
      <c r="H751" s="14">
        <v>487.83</v>
      </c>
      <c r="I751" s="14">
        <v>43.437341000000004</v>
      </c>
      <c r="J751" s="19">
        <v>0</v>
      </c>
    </row>
    <row r="752" spans="1:10" x14ac:dyDescent="0.25">
      <c r="A752" s="1" t="s">
        <v>291</v>
      </c>
      <c r="B752" s="4">
        <v>43.89</v>
      </c>
      <c r="C752" s="14">
        <v>722.00014699999997</v>
      </c>
      <c r="D752" s="14">
        <v>508.33</v>
      </c>
      <c r="E752" s="14">
        <v>838.86711700000001</v>
      </c>
      <c r="F752" s="14">
        <v>738.92722900000001</v>
      </c>
      <c r="G752" s="14">
        <v>508.33</v>
      </c>
      <c r="H752" s="14">
        <v>508.33</v>
      </c>
      <c r="I752" s="14">
        <v>45.262701</v>
      </c>
      <c r="J752" s="19">
        <v>0</v>
      </c>
    </row>
    <row r="753" spans="1:10" x14ac:dyDescent="0.25">
      <c r="A753" s="1" t="s">
        <v>292</v>
      </c>
      <c r="B753" s="4">
        <v>45.31</v>
      </c>
      <c r="C753" s="14">
        <v>746.18715099999997</v>
      </c>
      <c r="D753" s="14">
        <v>527.14</v>
      </c>
      <c r="E753" s="14">
        <v>918.81115299999999</v>
      </c>
      <c r="F753" s="14">
        <v>769.96217200000001</v>
      </c>
      <c r="G753" s="14">
        <v>527.14</v>
      </c>
      <c r="H753" s="14">
        <v>527.14</v>
      </c>
      <c r="I753" s="14">
        <v>46.937579999999997</v>
      </c>
      <c r="J753" s="19">
        <v>0</v>
      </c>
    </row>
    <row r="754" spans="1:10" x14ac:dyDescent="0.25">
      <c r="A754" s="1" t="s">
        <v>293</v>
      </c>
      <c r="B754" s="4">
        <v>46.8</v>
      </c>
      <c r="C754" s="14">
        <v>778.57167300000003</v>
      </c>
      <c r="D754" s="14">
        <v>546.64</v>
      </c>
      <c r="E754" s="14">
        <v>1036.3270990000001</v>
      </c>
      <c r="F754" s="14">
        <v>820.54868599999998</v>
      </c>
      <c r="G754" s="14">
        <v>546.64</v>
      </c>
      <c r="H754" s="14">
        <v>546.64</v>
      </c>
      <c r="I754" s="14">
        <v>48.673898999999999</v>
      </c>
      <c r="J754" s="19">
        <v>0</v>
      </c>
    </row>
    <row r="755" spans="1:10" x14ac:dyDescent="0.25">
      <c r="A755" s="1" t="s">
        <v>294</v>
      </c>
      <c r="B755" s="4">
        <v>49.06</v>
      </c>
      <c r="C755" s="14">
        <v>809.16953899999999</v>
      </c>
      <c r="D755" s="14">
        <v>566.86</v>
      </c>
      <c r="E755" s="14">
        <v>1068.867769</v>
      </c>
      <c r="F755" s="14">
        <v>867.48406999999997</v>
      </c>
      <c r="G755" s="14">
        <v>566.86</v>
      </c>
      <c r="H755" s="14">
        <v>566.86</v>
      </c>
      <c r="I755" s="14">
        <v>50.474327000000002</v>
      </c>
      <c r="J755" s="19">
        <v>0</v>
      </c>
    </row>
    <row r="756" spans="1:10" x14ac:dyDescent="0.25">
      <c r="A756" s="1" t="s">
        <v>295</v>
      </c>
      <c r="B756" s="4">
        <v>50.134999999999998</v>
      </c>
      <c r="C756" s="14">
        <v>861.92739200000005</v>
      </c>
      <c r="D756" s="14">
        <v>586.13</v>
      </c>
      <c r="E756" s="14">
        <v>1121.0285160000001</v>
      </c>
      <c r="F756" s="14">
        <v>922.91630199999997</v>
      </c>
      <c r="G756" s="14">
        <v>586.13</v>
      </c>
      <c r="H756" s="14">
        <v>586.13</v>
      </c>
      <c r="I756" s="14">
        <v>52.190165999999998</v>
      </c>
      <c r="J756" s="19">
        <v>0</v>
      </c>
    </row>
    <row r="757" spans="1:10" x14ac:dyDescent="0.25">
      <c r="A757" s="1" t="s">
        <v>296</v>
      </c>
      <c r="B757" s="4">
        <v>51.645000000000003</v>
      </c>
      <c r="C757" s="14">
        <v>905.196147</v>
      </c>
      <c r="D757" s="14">
        <v>604.89</v>
      </c>
      <c r="E757" s="14">
        <v>1185.263449</v>
      </c>
      <c r="F757" s="14">
        <v>976.99919699999998</v>
      </c>
      <c r="G757" s="14">
        <v>604.89</v>
      </c>
      <c r="H757" s="14">
        <v>604.89</v>
      </c>
      <c r="I757" s="14">
        <v>53.860593000000001</v>
      </c>
      <c r="J757" s="19">
        <v>0</v>
      </c>
    </row>
    <row r="758" spans="1:10" x14ac:dyDescent="0.25">
      <c r="A758" s="1" t="s">
        <v>297</v>
      </c>
      <c r="B758" s="4">
        <v>53.31</v>
      </c>
      <c r="C758" s="14">
        <v>952.62842499999999</v>
      </c>
      <c r="D758" s="14">
        <v>624.25</v>
      </c>
      <c r="E758" s="14">
        <v>1260.172098</v>
      </c>
      <c r="F758" s="14">
        <v>1059.555629</v>
      </c>
      <c r="G758" s="14">
        <v>624.25</v>
      </c>
      <c r="H758" s="14">
        <v>624.25</v>
      </c>
      <c r="I758" s="14">
        <v>55.584446</v>
      </c>
      <c r="J758" s="19">
        <v>0</v>
      </c>
    </row>
    <row r="759" spans="1:10" x14ac:dyDescent="0.25">
      <c r="A759" s="1" t="s">
        <v>298</v>
      </c>
      <c r="B759" s="4">
        <v>54.805</v>
      </c>
      <c r="C759" s="14">
        <v>1004.641937</v>
      </c>
      <c r="D759" s="14">
        <v>644.23</v>
      </c>
      <c r="E759" s="14">
        <v>1389.717789</v>
      </c>
      <c r="F759" s="14">
        <v>1132.876878</v>
      </c>
      <c r="G759" s="14">
        <v>644.23</v>
      </c>
      <c r="H759" s="14">
        <v>644.23</v>
      </c>
      <c r="I759" s="14">
        <v>57.363503999999999</v>
      </c>
      <c r="J759" s="19">
        <v>0</v>
      </c>
    </row>
    <row r="760" spans="1:10" x14ac:dyDescent="0.25">
      <c r="A760" s="8" t="s">
        <v>299</v>
      </c>
      <c r="B760" s="4">
        <v>56.74</v>
      </c>
      <c r="C760" s="14">
        <v>1066.427416</v>
      </c>
      <c r="D760" s="14">
        <v>663.56</v>
      </c>
      <c r="E760" s="14">
        <v>1501.034183</v>
      </c>
      <c r="F760" s="14">
        <v>1192.692777</v>
      </c>
      <c r="G760" s="14">
        <v>663.56</v>
      </c>
      <c r="H760" s="14">
        <v>663.56</v>
      </c>
      <c r="I760" s="14">
        <v>59.084685</v>
      </c>
      <c r="J760" s="19">
        <v>0</v>
      </c>
    </row>
    <row r="761" spans="1:10" x14ac:dyDescent="0.25">
      <c r="A761" s="1" t="s">
        <v>300</v>
      </c>
      <c r="B761" s="4">
        <v>58.48</v>
      </c>
      <c r="C761" s="14">
        <v>1138.731194</v>
      </c>
      <c r="D761" s="14">
        <v>684.79</v>
      </c>
      <c r="E761" s="14">
        <v>1547.5662420000001</v>
      </c>
      <c r="F761" s="14">
        <v>1283.9337740000001</v>
      </c>
      <c r="G761" s="14">
        <v>684.79</v>
      </c>
      <c r="H761" s="14">
        <v>684.79</v>
      </c>
      <c r="I761" s="14">
        <v>60.975045999999999</v>
      </c>
      <c r="J761" s="19">
        <v>0</v>
      </c>
    </row>
    <row r="762" spans="1:10" x14ac:dyDescent="0.25">
      <c r="A762" s="1" t="s">
        <v>301</v>
      </c>
      <c r="B762" s="4">
        <v>61.354999999999997</v>
      </c>
      <c r="C762" s="14">
        <v>1216.3926610000001</v>
      </c>
      <c r="D762" s="14">
        <v>706.7</v>
      </c>
      <c r="E762" s="14">
        <v>1625.8730929999999</v>
      </c>
      <c r="F762" s="14">
        <v>1380.8707730000001</v>
      </c>
      <c r="G762" s="14">
        <v>706.7</v>
      </c>
      <c r="H762" s="14">
        <v>706.7</v>
      </c>
      <c r="I762" s="14">
        <v>62.925955000000002</v>
      </c>
      <c r="J762" s="19">
        <v>0</v>
      </c>
    </row>
    <row r="763" spans="1:10" x14ac:dyDescent="0.25">
      <c r="A763" s="1" t="s">
        <v>302</v>
      </c>
      <c r="B763" s="4">
        <v>64.209999999999994</v>
      </c>
      <c r="C763" s="14">
        <v>1276.8473759999999</v>
      </c>
      <c r="D763" s="14">
        <v>738.5</v>
      </c>
      <c r="E763" s="14">
        <v>1707.00416</v>
      </c>
      <c r="F763" s="14">
        <v>1462.2040609999999</v>
      </c>
      <c r="G763" s="14">
        <v>738.5</v>
      </c>
      <c r="H763" s="14">
        <v>738.5</v>
      </c>
      <c r="I763" s="14">
        <v>65.757490000000004</v>
      </c>
      <c r="J763" s="19">
        <v>0</v>
      </c>
    </row>
    <row r="764" spans="1:10" x14ac:dyDescent="0.25">
      <c r="A764" s="1" t="s">
        <v>303</v>
      </c>
      <c r="B764" s="4">
        <v>67.13</v>
      </c>
      <c r="C764" s="14">
        <v>1339.6682659999999</v>
      </c>
      <c r="D764" s="14">
        <v>775.43</v>
      </c>
      <c r="E764" s="14">
        <v>1783.6486460000001</v>
      </c>
      <c r="F764" s="14">
        <v>1558.1246470000001</v>
      </c>
      <c r="G764" s="14">
        <v>775.43</v>
      </c>
      <c r="H764" s="14">
        <v>775.43</v>
      </c>
      <c r="I764" s="14">
        <v>69.045810000000003</v>
      </c>
      <c r="J764" s="19">
        <v>0</v>
      </c>
    </row>
    <row r="765" spans="1:10" x14ac:dyDescent="0.25">
      <c r="A765" s="1" t="s">
        <v>304</v>
      </c>
      <c r="B765" s="4">
        <v>70.510000000000005</v>
      </c>
      <c r="C765" s="14">
        <v>1452.3343669999999</v>
      </c>
      <c r="D765" s="14">
        <v>825.83</v>
      </c>
      <c r="E765" s="14">
        <v>2049.0555639999998</v>
      </c>
      <c r="F765" s="14">
        <v>1690.2536170000001</v>
      </c>
      <c r="G765" s="14">
        <v>825.83</v>
      </c>
      <c r="H765" s="14">
        <v>825.83</v>
      </c>
      <c r="I765" s="14">
        <v>73.533524</v>
      </c>
      <c r="J765" s="19">
        <v>0</v>
      </c>
    </row>
    <row r="766" spans="1:10" x14ac:dyDescent="0.25">
      <c r="A766" s="1" t="s">
        <v>305</v>
      </c>
      <c r="B766" s="4">
        <v>73.38</v>
      </c>
      <c r="C766" s="14">
        <v>1529.017621</v>
      </c>
      <c r="D766" s="14">
        <v>877.86</v>
      </c>
      <c r="E766" s="14">
        <v>2214.2094419999999</v>
      </c>
      <c r="F766" s="14">
        <v>1814.8253079999999</v>
      </c>
      <c r="G766" s="14">
        <v>877.86</v>
      </c>
      <c r="H766" s="14">
        <v>877.86</v>
      </c>
      <c r="I766" s="14">
        <v>78.166377999999995</v>
      </c>
      <c r="J766" s="19">
        <v>0</v>
      </c>
    </row>
    <row r="767" spans="1:10" x14ac:dyDescent="0.25">
      <c r="A767" s="1" t="s">
        <v>306</v>
      </c>
      <c r="B767" s="4">
        <v>79.86</v>
      </c>
      <c r="C767" s="14">
        <v>1611.584572</v>
      </c>
      <c r="D767" s="14">
        <v>930.53</v>
      </c>
      <c r="E767" s="14">
        <v>2289.4925629999998</v>
      </c>
      <c r="F767" s="14">
        <v>1914.096252</v>
      </c>
      <c r="G767" s="14">
        <v>930.53</v>
      </c>
      <c r="H767" s="14">
        <v>930.53</v>
      </c>
      <c r="I767" s="14">
        <v>82.856217999999998</v>
      </c>
      <c r="J767" s="19">
        <v>0</v>
      </c>
    </row>
    <row r="768" spans="1:10" x14ac:dyDescent="0.25">
      <c r="A768" s="1" t="s">
        <v>307</v>
      </c>
      <c r="B768" s="4">
        <v>82.94</v>
      </c>
      <c r="C768" s="14">
        <v>1713.1143999999999</v>
      </c>
      <c r="D768" s="14">
        <v>986.36</v>
      </c>
      <c r="E768" s="14">
        <v>2369.395853</v>
      </c>
      <c r="F768" s="14">
        <v>2032.5788090000001</v>
      </c>
      <c r="G768" s="14">
        <v>986.36</v>
      </c>
      <c r="H768" s="14">
        <v>986.36</v>
      </c>
      <c r="I768" s="14">
        <v>87.827431000000004</v>
      </c>
      <c r="J768" s="19">
        <v>0</v>
      </c>
    </row>
    <row r="769" spans="1:10" x14ac:dyDescent="0.25">
      <c r="A769" s="1" t="s">
        <v>308</v>
      </c>
      <c r="B769" s="4">
        <v>88.14</v>
      </c>
      <c r="C769" s="14">
        <v>1785.2365159999999</v>
      </c>
      <c r="D769" s="14">
        <v>1045.54</v>
      </c>
      <c r="E769" s="14">
        <v>2425.3135950000001</v>
      </c>
      <c r="F769" s="14">
        <v>2123.4350810000001</v>
      </c>
      <c r="G769" s="14">
        <v>1045.54</v>
      </c>
      <c r="H769" s="14">
        <v>1045.54</v>
      </c>
      <c r="I769" s="14">
        <v>93.096934000000005</v>
      </c>
      <c r="J769" s="19">
        <v>0</v>
      </c>
    </row>
    <row r="770" spans="1:10" x14ac:dyDescent="0.25">
      <c r="A770" s="1" t="s">
        <v>309</v>
      </c>
      <c r="B770" s="4">
        <v>93.2</v>
      </c>
      <c r="C770" s="14">
        <v>1876.1050540000001</v>
      </c>
      <c r="D770" s="14">
        <v>1108.27</v>
      </c>
      <c r="E770" s="14">
        <v>2472.6072100000001</v>
      </c>
      <c r="F770" s="14">
        <v>2231.3055829999998</v>
      </c>
      <c r="G770" s="14">
        <v>1108.27</v>
      </c>
      <c r="H770" s="14">
        <v>1108.27</v>
      </c>
      <c r="I770" s="14">
        <v>98.682536999999996</v>
      </c>
      <c r="J770" s="19">
        <v>0</v>
      </c>
    </row>
    <row r="771" spans="1:10" x14ac:dyDescent="0.25">
      <c r="A771" s="1" t="s">
        <v>310</v>
      </c>
      <c r="B771" s="4">
        <v>99.11</v>
      </c>
      <c r="C771" s="14">
        <v>2036.8872570000001</v>
      </c>
      <c r="D771" s="14">
        <v>1172.55</v>
      </c>
      <c r="E771" s="14">
        <v>2779.2105040000001</v>
      </c>
      <c r="F771" s="14">
        <v>2381.472448</v>
      </c>
      <c r="G771" s="14">
        <v>1172.55</v>
      </c>
      <c r="H771" s="14">
        <v>1172.55</v>
      </c>
      <c r="I771" s="14">
        <v>104.406154</v>
      </c>
      <c r="J771" s="19">
        <v>0</v>
      </c>
    </row>
    <row r="772" spans="1:10" x14ac:dyDescent="0.25">
      <c r="A772" s="8" t="s">
        <v>311</v>
      </c>
      <c r="B772" s="4">
        <v>104.64</v>
      </c>
      <c r="C772" s="14">
        <v>2125.2881630000002</v>
      </c>
      <c r="D772" s="14">
        <v>1239.3900000000001</v>
      </c>
      <c r="E772" s="14">
        <v>2932.9008439999998</v>
      </c>
      <c r="F772" s="14">
        <v>2502.2131009999998</v>
      </c>
      <c r="G772" s="14">
        <v>1239.3900000000001</v>
      </c>
      <c r="H772" s="14">
        <v>1239.3900000000001</v>
      </c>
      <c r="I772" s="14">
        <v>110.357719</v>
      </c>
      <c r="J772" s="19">
        <v>0</v>
      </c>
    </row>
    <row r="773" spans="1:10" x14ac:dyDescent="0.25">
      <c r="A773" s="1" t="s">
        <v>312</v>
      </c>
      <c r="B773" s="4">
        <v>110.67</v>
      </c>
      <c r="C773" s="14">
        <v>2224.1140620000001</v>
      </c>
      <c r="D773" s="14">
        <v>1310.04</v>
      </c>
      <c r="E773" s="14">
        <v>2983.3467380000002</v>
      </c>
      <c r="F773" s="14">
        <v>2611.0593699999999</v>
      </c>
      <c r="G773" s="14">
        <v>1310.04</v>
      </c>
      <c r="H773" s="14">
        <v>1310.04</v>
      </c>
      <c r="I773" s="14">
        <v>116.648533</v>
      </c>
      <c r="J773" s="19">
        <v>0</v>
      </c>
    </row>
    <row r="774" spans="1:10" x14ac:dyDescent="0.25">
      <c r="A774" s="1" t="s">
        <v>313</v>
      </c>
      <c r="B774" s="4">
        <v>116.91</v>
      </c>
      <c r="C774" s="14">
        <v>2333.540473</v>
      </c>
      <c r="D774" s="14">
        <v>1382.09</v>
      </c>
      <c r="E774" s="14">
        <v>3081.200511</v>
      </c>
      <c r="F774" s="14">
        <v>2749.7066220000002</v>
      </c>
      <c r="G774" s="14">
        <v>1382.09</v>
      </c>
      <c r="H774" s="14">
        <v>1382.09</v>
      </c>
      <c r="I774" s="14">
        <v>123.064007</v>
      </c>
      <c r="J774" s="19">
        <v>0</v>
      </c>
    </row>
    <row r="775" spans="1:10" x14ac:dyDescent="0.25">
      <c r="A775" s="1" t="s">
        <v>314</v>
      </c>
      <c r="B775" s="4">
        <v>125.42</v>
      </c>
      <c r="C775" s="14">
        <v>2437.1496699999998</v>
      </c>
      <c r="D775" s="14">
        <v>1453.96</v>
      </c>
      <c r="E775" s="14">
        <v>3177.025846</v>
      </c>
      <c r="F775" s="14">
        <v>2854.1954730000002</v>
      </c>
      <c r="G775" s="14">
        <v>1453.96</v>
      </c>
      <c r="H775" s="14">
        <v>1453.96</v>
      </c>
      <c r="I775" s="14">
        <v>129.46345299999999</v>
      </c>
      <c r="J775" s="19">
        <v>0</v>
      </c>
    </row>
    <row r="776" spans="1:10" x14ac:dyDescent="0.25">
      <c r="A776" s="1" t="s">
        <v>315</v>
      </c>
      <c r="B776" s="4">
        <v>129.97</v>
      </c>
      <c r="C776" s="14">
        <v>2533.173366</v>
      </c>
      <c r="D776" s="14">
        <v>1526.66</v>
      </c>
      <c r="E776" s="14">
        <v>3297.7528280000001</v>
      </c>
      <c r="F776" s="14">
        <v>3033.7243680000001</v>
      </c>
      <c r="G776" s="14">
        <v>1526.66</v>
      </c>
      <c r="H776" s="14">
        <v>1526.66</v>
      </c>
      <c r="I776" s="14">
        <v>135.936804</v>
      </c>
      <c r="J776" s="19">
        <v>0</v>
      </c>
    </row>
    <row r="777" spans="1:10" x14ac:dyDescent="0.25">
      <c r="A777" s="1" t="s">
        <v>316</v>
      </c>
      <c r="B777" s="4">
        <v>136.75</v>
      </c>
      <c r="C777" s="14">
        <v>2682.6305940000002</v>
      </c>
      <c r="D777" s="14">
        <v>1602.99</v>
      </c>
      <c r="E777" s="14">
        <v>3656.2185599999998</v>
      </c>
      <c r="F777" s="14">
        <v>3241.5344869999999</v>
      </c>
      <c r="G777" s="14">
        <v>1602.99</v>
      </c>
      <c r="H777" s="14">
        <v>1602.99</v>
      </c>
      <c r="I777" s="14">
        <v>142.73337699999999</v>
      </c>
      <c r="J777" s="19">
        <v>0</v>
      </c>
    </row>
    <row r="778" spans="1:10" x14ac:dyDescent="0.25">
      <c r="A778" s="1" t="s">
        <v>317</v>
      </c>
      <c r="B778" s="4">
        <v>143.59</v>
      </c>
      <c r="C778" s="14">
        <v>2838.4914309999999</v>
      </c>
      <c r="D778" s="14">
        <v>1683.14</v>
      </c>
      <c r="E778" s="14">
        <v>4114.7083670000002</v>
      </c>
      <c r="F778" s="14">
        <v>3475.89743</v>
      </c>
      <c r="G778" s="14">
        <v>1683.14</v>
      </c>
      <c r="H778" s="14">
        <v>1683.14</v>
      </c>
      <c r="I778" s="14">
        <v>149.87009</v>
      </c>
      <c r="J778" s="19">
        <v>0</v>
      </c>
    </row>
    <row r="779" spans="1:10" x14ac:dyDescent="0.25">
      <c r="A779" s="1" t="s">
        <v>318</v>
      </c>
      <c r="B779" s="4">
        <v>150.62</v>
      </c>
      <c r="C779" s="14">
        <v>2990.0668730000002</v>
      </c>
      <c r="D779" s="14">
        <v>1775.71</v>
      </c>
      <c r="E779" s="14">
        <v>4290.406414</v>
      </c>
      <c r="F779" s="14">
        <v>3662.2055319999999</v>
      </c>
      <c r="G779" s="14">
        <v>1775.71</v>
      </c>
      <c r="H779" s="14">
        <v>1775.71</v>
      </c>
      <c r="I779" s="14">
        <v>158.11270400000001</v>
      </c>
      <c r="J779" s="19">
        <v>0</v>
      </c>
    </row>
    <row r="780" spans="1:10" x14ac:dyDescent="0.25">
      <c r="A780" s="1" t="s">
        <v>319</v>
      </c>
      <c r="B780" s="4">
        <v>158.36000000000001</v>
      </c>
      <c r="C780" s="14">
        <v>3170.068898</v>
      </c>
      <c r="D780" s="14">
        <v>1873.37</v>
      </c>
      <c r="E780" s="14">
        <v>4516.0817909999996</v>
      </c>
      <c r="F780" s="14">
        <v>3886.3325100000002</v>
      </c>
      <c r="G780" s="14">
        <v>1873.37</v>
      </c>
      <c r="H780" s="14">
        <v>1873.37</v>
      </c>
      <c r="I780" s="14">
        <v>166.80854299999999</v>
      </c>
      <c r="J780" s="19">
        <v>0</v>
      </c>
    </row>
    <row r="781" spans="1:10" x14ac:dyDescent="0.25">
      <c r="A781" s="1" t="s">
        <v>320</v>
      </c>
      <c r="B781" s="4">
        <v>167.04</v>
      </c>
      <c r="C781" s="14">
        <v>3435.4036639999999</v>
      </c>
      <c r="D781" s="14">
        <v>1976.41</v>
      </c>
      <c r="E781" s="14">
        <v>4681.8219920000001</v>
      </c>
      <c r="F781" s="14">
        <v>4196.850477</v>
      </c>
      <c r="G781" s="14">
        <v>1976.41</v>
      </c>
      <c r="H781" s="14">
        <v>1976.41</v>
      </c>
      <c r="I781" s="14">
        <v>175.98342600000001</v>
      </c>
      <c r="J781" s="19">
        <v>0</v>
      </c>
    </row>
    <row r="782" spans="1:10" x14ac:dyDescent="0.25">
      <c r="A782" s="1" t="s">
        <v>321</v>
      </c>
      <c r="B782" s="4">
        <v>176.28</v>
      </c>
      <c r="C782" s="14">
        <v>3665.919249</v>
      </c>
      <c r="D782" s="14">
        <v>2094.9899999999998</v>
      </c>
      <c r="E782" s="14">
        <v>4938.8540190000003</v>
      </c>
      <c r="F782" s="14">
        <v>4451.179615</v>
      </c>
      <c r="G782" s="14">
        <v>2094.9899999999998</v>
      </c>
      <c r="H782" s="14">
        <v>2094.9899999999998</v>
      </c>
      <c r="I782" s="14">
        <v>186.542022</v>
      </c>
      <c r="J782" s="19">
        <v>0</v>
      </c>
    </row>
    <row r="783" spans="1:10" x14ac:dyDescent="0.25">
      <c r="A783" s="1" t="s">
        <v>322</v>
      </c>
      <c r="B783" s="4">
        <v>189.9</v>
      </c>
      <c r="C783" s="14">
        <v>3896.8721609999998</v>
      </c>
      <c r="D783" s="14">
        <v>2241.64</v>
      </c>
      <c r="E783" s="14">
        <v>5775.4958889999998</v>
      </c>
      <c r="F783" s="14">
        <v>4709.3480319999999</v>
      </c>
      <c r="G783" s="14">
        <v>2241.64</v>
      </c>
      <c r="H783" s="14">
        <v>2241.64</v>
      </c>
      <c r="I783" s="14">
        <v>199.60002600000001</v>
      </c>
      <c r="J783" s="19">
        <v>0</v>
      </c>
    </row>
    <row r="784" spans="1:10" x14ac:dyDescent="0.25">
      <c r="A784" s="8" t="s">
        <v>323</v>
      </c>
      <c r="B784" s="4">
        <v>202.29</v>
      </c>
      <c r="C784" s="14">
        <v>4037.9389329999999</v>
      </c>
      <c r="D784" s="14">
        <v>2398.5500000000002</v>
      </c>
      <c r="E784" s="14">
        <v>6007.6708230000004</v>
      </c>
      <c r="F784" s="14">
        <v>4881.710169</v>
      </c>
      <c r="G784" s="14">
        <v>2398.5500000000002</v>
      </c>
      <c r="H784" s="14">
        <v>2398.5500000000002</v>
      </c>
      <c r="I784" s="14">
        <v>213.57160099999999</v>
      </c>
      <c r="J784" s="19">
        <v>0</v>
      </c>
    </row>
    <row r="785" spans="1:10" x14ac:dyDescent="0.25">
      <c r="A785" s="1" t="s">
        <v>324</v>
      </c>
      <c r="B785" s="4">
        <v>214.68</v>
      </c>
      <c r="C785" s="14">
        <v>4185.3237040000004</v>
      </c>
      <c r="D785" s="14">
        <v>2566.4499999999998</v>
      </c>
      <c r="E785" s="14">
        <v>6202.3193570000003</v>
      </c>
      <c r="F785" s="14">
        <v>5115.0559149999999</v>
      </c>
      <c r="G785" s="14">
        <v>2566.4499999999998</v>
      </c>
      <c r="H785" s="14">
        <v>2566.4499999999998</v>
      </c>
      <c r="I785" s="14">
        <v>228.52174600000001</v>
      </c>
      <c r="J785" s="19">
        <v>0</v>
      </c>
    </row>
    <row r="786" spans="1:10" x14ac:dyDescent="0.25">
      <c r="A786" s="1" t="s">
        <v>325</v>
      </c>
      <c r="B786" s="4">
        <v>229.6</v>
      </c>
      <c r="C786" s="14">
        <v>4410.0755859999999</v>
      </c>
      <c r="D786" s="14">
        <v>2733.27</v>
      </c>
      <c r="E786" s="14">
        <v>6454.1335220000001</v>
      </c>
      <c r="F786" s="14">
        <v>5370.8087100000002</v>
      </c>
      <c r="G786" s="14">
        <v>2733.27</v>
      </c>
      <c r="H786" s="14">
        <v>2733.27</v>
      </c>
      <c r="I786" s="14">
        <v>243.37572700000001</v>
      </c>
      <c r="J786" s="19">
        <v>0</v>
      </c>
    </row>
    <row r="787" spans="1:10" x14ac:dyDescent="0.25">
      <c r="A787" s="1" t="s">
        <v>326</v>
      </c>
      <c r="B787" s="4">
        <v>244.86</v>
      </c>
      <c r="C787" s="14">
        <v>4743.4772999999996</v>
      </c>
      <c r="D787" s="14">
        <v>2910.93</v>
      </c>
      <c r="E787" s="14">
        <v>6607.0964860000004</v>
      </c>
      <c r="F787" s="14">
        <v>5700.5763639999996</v>
      </c>
      <c r="G787" s="14">
        <v>2910.93</v>
      </c>
      <c r="H787" s="14">
        <v>2910.93</v>
      </c>
      <c r="I787" s="14">
        <v>259.19492200000002</v>
      </c>
      <c r="J787" s="19">
        <v>0</v>
      </c>
    </row>
    <row r="788" spans="1:10" x14ac:dyDescent="0.25">
      <c r="A788" s="1" t="s">
        <v>327</v>
      </c>
      <c r="B788" s="4">
        <v>260.99</v>
      </c>
      <c r="C788" s="14">
        <v>5084.5333170000004</v>
      </c>
      <c r="D788" s="14">
        <v>3085.59</v>
      </c>
      <c r="E788" s="14">
        <v>6862.7911199999999</v>
      </c>
      <c r="F788" s="14">
        <v>6216.4785240000001</v>
      </c>
      <c r="G788" s="14">
        <v>3085.59</v>
      </c>
      <c r="H788" s="14">
        <v>3085.59</v>
      </c>
      <c r="I788" s="14">
        <v>274.74699099999998</v>
      </c>
      <c r="J788" s="19">
        <v>0</v>
      </c>
    </row>
    <row r="789" spans="1:10" x14ac:dyDescent="0.25">
      <c r="A789" s="1" t="s">
        <v>328</v>
      </c>
      <c r="B789" s="4">
        <v>286.54000000000002</v>
      </c>
      <c r="C789" s="14">
        <v>5495.8720620000004</v>
      </c>
      <c r="D789" s="14">
        <v>3292.32</v>
      </c>
      <c r="E789" s="14">
        <v>7730.9341960000002</v>
      </c>
      <c r="F789" s="14">
        <v>6621.792923</v>
      </c>
      <c r="G789" s="14">
        <v>3292.32</v>
      </c>
      <c r="H789" s="14">
        <v>3292.32</v>
      </c>
      <c r="I789" s="14">
        <v>293.15463599999998</v>
      </c>
      <c r="J789" s="19">
        <v>0</v>
      </c>
    </row>
    <row r="790" spans="1:10" x14ac:dyDescent="0.25">
      <c r="A790" s="1" t="s">
        <v>329</v>
      </c>
      <c r="B790" s="4">
        <v>396.03</v>
      </c>
      <c r="C790" s="14">
        <v>6038.8642209999998</v>
      </c>
      <c r="D790" s="14">
        <v>3588.63</v>
      </c>
      <c r="E790" s="14">
        <v>8371.8286399999997</v>
      </c>
      <c r="F790" s="14">
        <v>7289.9318279999998</v>
      </c>
      <c r="G790" s="14">
        <v>3588.63</v>
      </c>
      <c r="H790" s="14">
        <v>3588.63</v>
      </c>
      <c r="I790" s="14">
        <v>319.53865999999999</v>
      </c>
      <c r="J790" s="19">
        <v>0</v>
      </c>
    </row>
    <row r="791" spans="1:10" x14ac:dyDescent="0.25">
      <c r="A791" s="1" t="s">
        <v>330</v>
      </c>
      <c r="B791" s="4">
        <v>434.45</v>
      </c>
      <c r="C791" s="14">
        <v>6425.3515310000003</v>
      </c>
      <c r="D791" s="14">
        <v>3911.61</v>
      </c>
      <c r="E791" s="14">
        <v>8712.5620650000001</v>
      </c>
      <c r="F791" s="14">
        <v>7960.6055560000004</v>
      </c>
      <c r="G791" s="14">
        <v>3911.61</v>
      </c>
      <c r="H791" s="14">
        <v>3911.61</v>
      </c>
      <c r="I791" s="14">
        <v>348.29743400000001</v>
      </c>
      <c r="J791" s="19">
        <v>0</v>
      </c>
    </row>
    <row r="792" spans="1:10" x14ac:dyDescent="0.25">
      <c r="A792" s="1" t="s">
        <v>331</v>
      </c>
      <c r="B792" s="4">
        <v>474.29</v>
      </c>
      <c r="C792" s="14">
        <v>6744.6915019999997</v>
      </c>
      <c r="D792" s="14">
        <v>4224.54</v>
      </c>
      <c r="E792" s="14">
        <v>9336.3815080000004</v>
      </c>
      <c r="F792" s="14">
        <v>8470.0843110000005</v>
      </c>
      <c r="G792" s="14">
        <v>4224.54</v>
      </c>
      <c r="H792" s="14">
        <v>4224.54</v>
      </c>
      <c r="I792" s="14">
        <v>376.16133500000001</v>
      </c>
      <c r="J792" s="19">
        <v>0</v>
      </c>
    </row>
    <row r="793" spans="1:10" x14ac:dyDescent="0.25">
      <c r="A793" s="1" t="s">
        <v>332</v>
      </c>
      <c r="B793" s="4">
        <v>515.30999999999995</v>
      </c>
      <c r="C793" s="14">
        <v>7538.5416910000004</v>
      </c>
      <c r="D793" s="14">
        <v>4554.05</v>
      </c>
      <c r="E793" s="14">
        <v>9808.8024119999991</v>
      </c>
      <c r="F793" s="14">
        <v>9538.1619420000006</v>
      </c>
      <c r="G793" s="14">
        <v>4554.05</v>
      </c>
      <c r="H793" s="14">
        <v>4554.05</v>
      </c>
      <c r="I793" s="14">
        <v>405.501552</v>
      </c>
      <c r="J793" s="19">
        <v>0</v>
      </c>
    </row>
    <row r="794" spans="1:10" x14ac:dyDescent="0.25">
      <c r="A794" s="1" t="s">
        <v>333</v>
      </c>
      <c r="B794" s="4">
        <v>565.96</v>
      </c>
      <c r="C794" s="14">
        <v>8485.3825269999998</v>
      </c>
      <c r="D794" s="14">
        <v>4963.91</v>
      </c>
      <c r="E794" s="14">
        <v>10461.087772000001</v>
      </c>
      <c r="F794" s="14">
        <v>10807.691296000001</v>
      </c>
      <c r="G794" s="14">
        <v>4963.91</v>
      </c>
      <c r="H794" s="14">
        <v>4963.91</v>
      </c>
      <c r="I794" s="14">
        <v>441.99629099999999</v>
      </c>
      <c r="J794" s="19">
        <v>0</v>
      </c>
    </row>
    <row r="795" spans="1:10" x14ac:dyDescent="0.25">
      <c r="A795" s="1" t="s">
        <v>334</v>
      </c>
      <c r="B795" s="4">
        <v>641.02</v>
      </c>
      <c r="C795" s="14">
        <v>9107.3610659999995</v>
      </c>
      <c r="D795" s="14">
        <v>5385.84</v>
      </c>
      <c r="E795" s="14">
        <v>12225.873278999999</v>
      </c>
      <c r="F795" s="14">
        <v>11900.348886</v>
      </c>
      <c r="G795" s="14">
        <v>5385.84</v>
      </c>
      <c r="H795" s="14">
        <v>5385.84</v>
      </c>
      <c r="I795" s="14">
        <v>479.56576699999999</v>
      </c>
      <c r="J795" s="19">
        <v>0</v>
      </c>
    </row>
    <row r="796" spans="1:10" x14ac:dyDescent="0.25">
      <c r="A796" s="8" t="s">
        <v>335</v>
      </c>
      <c r="B796" s="4">
        <v>701</v>
      </c>
      <c r="C796" s="14">
        <v>10148.332435</v>
      </c>
      <c r="D796" s="14">
        <v>5897.49</v>
      </c>
      <c r="E796" s="14">
        <v>13315.198587999999</v>
      </c>
      <c r="F796" s="14">
        <v>13422.403507999999</v>
      </c>
      <c r="G796" s="14">
        <v>5897.49</v>
      </c>
      <c r="H796" s="14">
        <v>5897.49</v>
      </c>
      <c r="I796" s="14">
        <v>525.12408700000003</v>
      </c>
      <c r="J796" s="19">
        <v>0</v>
      </c>
    </row>
    <row r="797" spans="1:10" x14ac:dyDescent="0.25">
      <c r="A797" s="1" t="s">
        <v>336</v>
      </c>
      <c r="B797" s="4">
        <v>780</v>
      </c>
      <c r="C797" s="14">
        <v>11120.542681999999</v>
      </c>
      <c r="D797" s="14">
        <v>6469.55</v>
      </c>
      <c r="E797" s="14">
        <v>13988.947636000001</v>
      </c>
      <c r="F797" s="14">
        <v>15202.214212999999</v>
      </c>
      <c r="G797" s="14">
        <v>6469.55</v>
      </c>
      <c r="H797" s="14">
        <v>6469.55</v>
      </c>
      <c r="I797" s="14">
        <v>576.06143299999997</v>
      </c>
      <c r="J797" s="19">
        <v>0</v>
      </c>
    </row>
    <row r="798" spans="1:10" x14ac:dyDescent="0.25">
      <c r="A798" s="1" t="s">
        <v>337</v>
      </c>
      <c r="B798" s="4">
        <v>856</v>
      </c>
      <c r="C798" s="14">
        <v>11610.958613999999</v>
      </c>
      <c r="D798" s="14">
        <v>7012.99</v>
      </c>
      <c r="E798" s="14">
        <v>15674.615825999999</v>
      </c>
      <c r="F798" s="14">
        <v>16483.760870999999</v>
      </c>
      <c r="G798" s="14">
        <v>7012.99</v>
      </c>
      <c r="H798" s="14">
        <v>7012.99</v>
      </c>
      <c r="I798" s="14">
        <v>624.45039699999995</v>
      </c>
      <c r="J798" s="19">
        <v>0</v>
      </c>
    </row>
    <row r="799" spans="1:10" x14ac:dyDescent="0.25">
      <c r="A799" s="1" t="s">
        <v>338</v>
      </c>
      <c r="B799" s="4">
        <v>940</v>
      </c>
      <c r="C799" s="14">
        <v>12527.063248</v>
      </c>
      <c r="D799" s="14">
        <v>7545.98</v>
      </c>
      <c r="E799" s="14">
        <v>16448.941846999998</v>
      </c>
      <c r="F799" s="14">
        <v>17729.933192</v>
      </c>
      <c r="G799" s="14">
        <v>7545.98</v>
      </c>
      <c r="H799" s="14">
        <v>7545.98</v>
      </c>
      <c r="I799" s="14">
        <v>671.90887299999997</v>
      </c>
      <c r="J799" s="19">
        <v>0</v>
      </c>
    </row>
    <row r="800" spans="1:10" x14ac:dyDescent="0.25">
      <c r="A800" s="1" t="s">
        <v>339</v>
      </c>
      <c r="B800" s="4">
        <v>1013</v>
      </c>
      <c r="C800" s="14">
        <v>13651.993527000001</v>
      </c>
      <c r="D800" s="14">
        <v>8285.49</v>
      </c>
      <c r="E800" s="14">
        <v>17426.008991999999</v>
      </c>
      <c r="F800" s="14">
        <v>19469.239637999999</v>
      </c>
      <c r="G800" s="14">
        <v>8285.49</v>
      </c>
      <c r="H800" s="14">
        <v>8285.49</v>
      </c>
      <c r="I800" s="14">
        <v>737.75629600000002</v>
      </c>
      <c r="J800" s="19">
        <v>0</v>
      </c>
    </row>
    <row r="801" spans="1:10" x14ac:dyDescent="0.25">
      <c r="A801" s="1" t="s">
        <v>340</v>
      </c>
      <c r="B801" s="4">
        <v>1134</v>
      </c>
      <c r="C801" s="14">
        <v>15039.036069</v>
      </c>
      <c r="D801" s="14">
        <v>9304.61</v>
      </c>
      <c r="E801" s="14">
        <v>21202.225139999999</v>
      </c>
      <c r="F801" s="14">
        <v>21856.168417000001</v>
      </c>
      <c r="G801" s="14">
        <v>9304.61</v>
      </c>
      <c r="H801" s="14">
        <v>9304.61</v>
      </c>
      <c r="I801" s="14">
        <v>828.50074099999995</v>
      </c>
      <c r="J801" s="19">
        <v>0</v>
      </c>
    </row>
    <row r="802" spans="1:10" x14ac:dyDescent="0.25">
      <c r="A802" s="1" t="s">
        <v>341</v>
      </c>
      <c r="B802" s="4">
        <v>1267</v>
      </c>
      <c r="C802" s="14">
        <v>16379.014182000001</v>
      </c>
      <c r="D802" s="14">
        <v>10235.07</v>
      </c>
      <c r="E802" s="14">
        <v>23186.753412999999</v>
      </c>
      <c r="F802" s="14">
        <v>24030.857174000001</v>
      </c>
      <c r="G802" s="14">
        <v>10235.07</v>
      </c>
      <c r="H802" s="14">
        <v>10235.07</v>
      </c>
      <c r="I802" s="14">
        <v>911.35072600000001</v>
      </c>
      <c r="J802" s="19">
        <v>0</v>
      </c>
    </row>
    <row r="803" spans="1:10" x14ac:dyDescent="0.25">
      <c r="A803" s="1" t="s">
        <v>342</v>
      </c>
      <c r="B803" s="4">
        <v>1376</v>
      </c>
      <c r="C803" s="14">
        <v>17677.870006000001</v>
      </c>
      <c r="D803" s="14">
        <v>11145.99</v>
      </c>
      <c r="E803" s="14">
        <v>24197.695861</v>
      </c>
      <c r="F803" s="14">
        <v>26179.215805</v>
      </c>
      <c r="G803" s="14">
        <v>11145.99</v>
      </c>
      <c r="H803" s="14">
        <v>11145.99</v>
      </c>
      <c r="I803" s="14">
        <v>992.46083099999998</v>
      </c>
      <c r="J803" s="19">
        <v>0</v>
      </c>
    </row>
    <row r="804" spans="1:10" x14ac:dyDescent="0.25">
      <c r="A804" s="1" t="s">
        <v>343</v>
      </c>
      <c r="B804" s="4">
        <v>1492</v>
      </c>
      <c r="C804" s="14">
        <v>18860.519509000002</v>
      </c>
      <c r="D804" s="14">
        <v>12137.98</v>
      </c>
      <c r="E804" s="14">
        <v>26131.091759999999</v>
      </c>
      <c r="F804" s="14">
        <v>28498.694325</v>
      </c>
      <c r="G804" s="14">
        <v>12137.98</v>
      </c>
      <c r="H804" s="14">
        <v>12137.98</v>
      </c>
      <c r="I804" s="14">
        <v>1080.7895679999999</v>
      </c>
      <c r="J804" s="19">
        <v>0</v>
      </c>
    </row>
    <row r="805" spans="1:10" x14ac:dyDescent="0.25">
      <c r="A805" s="1" t="s">
        <v>344</v>
      </c>
      <c r="B805" s="4">
        <v>1649</v>
      </c>
      <c r="C805" s="14">
        <v>21065.314238999999</v>
      </c>
      <c r="D805" s="14">
        <v>13254.67</v>
      </c>
      <c r="E805" s="14">
        <v>28464.598254</v>
      </c>
      <c r="F805" s="14">
        <v>31134.823550000001</v>
      </c>
      <c r="G805" s="14">
        <v>13254.67</v>
      </c>
      <c r="H805" s="14">
        <v>13254.67</v>
      </c>
      <c r="I805" s="14">
        <v>1180.2218379999999</v>
      </c>
      <c r="J805" s="19">
        <v>0</v>
      </c>
    </row>
    <row r="806" spans="1:10" x14ac:dyDescent="0.25">
      <c r="A806" s="1" t="s">
        <v>345</v>
      </c>
      <c r="B806" s="4">
        <v>1809</v>
      </c>
      <c r="C806" s="14">
        <v>22733.687126000001</v>
      </c>
      <c r="D806" s="14">
        <v>14619.9</v>
      </c>
      <c r="E806" s="14">
        <v>29961.836122000001</v>
      </c>
      <c r="F806" s="14">
        <v>34347.937339999997</v>
      </c>
      <c r="G806" s="14">
        <v>14619.9</v>
      </c>
      <c r="H806" s="14">
        <v>14619.9</v>
      </c>
      <c r="I806" s="14">
        <v>1301.784598</v>
      </c>
      <c r="J806" s="19">
        <v>0</v>
      </c>
    </row>
    <row r="807" spans="1:10" x14ac:dyDescent="0.25">
      <c r="A807" s="1" t="s">
        <v>346</v>
      </c>
      <c r="B807" s="4">
        <v>1961</v>
      </c>
      <c r="C807" s="14">
        <v>24566.022308</v>
      </c>
      <c r="D807" s="14">
        <v>16169.61</v>
      </c>
      <c r="E807" s="14">
        <v>38234.299075000003</v>
      </c>
      <c r="F807" s="14">
        <v>37995.688284999997</v>
      </c>
      <c r="G807" s="14">
        <v>16169.61</v>
      </c>
      <c r="H807" s="14">
        <v>16169.61</v>
      </c>
      <c r="I807" s="14">
        <v>1439.7738179999999</v>
      </c>
      <c r="J807" s="19">
        <v>0</v>
      </c>
    </row>
    <row r="808" spans="1:10" x14ac:dyDescent="0.25">
      <c r="A808" s="8" t="s">
        <v>347</v>
      </c>
      <c r="B808" s="4">
        <v>2177</v>
      </c>
      <c r="C808" s="14">
        <v>26826.09636</v>
      </c>
      <c r="D808" s="14">
        <v>17867.419999999998</v>
      </c>
      <c r="E808" s="14">
        <v>40375.419822999997</v>
      </c>
      <c r="F808" s="14">
        <v>41989.035123000001</v>
      </c>
      <c r="G808" s="14">
        <v>17867.419999999998</v>
      </c>
      <c r="H808" s="14">
        <v>17867.419999999998</v>
      </c>
      <c r="I808" s="14">
        <v>1590.9501540000001</v>
      </c>
      <c r="J808" s="19">
        <v>0</v>
      </c>
    </row>
    <row r="809" spans="1:10" x14ac:dyDescent="0.25">
      <c r="A809" s="1" t="s">
        <v>348</v>
      </c>
      <c r="B809" s="4">
        <v>2449</v>
      </c>
      <c r="C809" s="14">
        <v>29369.210294</v>
      </c>
      <c r="D809" s="14">
        <v>20118.71</v>
      </c>
      <c r="E809" s="14">
        <v>43863.856095000003</v>
      </c>
      <c r="F809" s="14">
        <v>47271.255741000001</v>
      </c>
      <c r="G809" s="14">
        <v>20118.71</v>
      </c>
      <c r="H809" s="14">
        <v>20118.71</v>
      </c>
      <c r="I809" s="14">
        <v>1791.409435</v>
      </c>
      <c r="J809" s="19">
        <v>0</v>
      </c>
    </row>
    <row r="810" spans="1:10" x14ac:dyDescent="0.25">
      <c r="A810" s="1" t="s">
        <v>349</v>
      </c>
      <c r="B810" s="4">
        <v>2698</v>
      </c>
      <c r="C810" s="14">
        <v>32188.654482000002</v>
      </c>
      <c r="D810" s="14">
        <v>22110.46</v>
      </c>
      <c r="E810" s="14">
        <v>47653.693261</v>
      </c>
      <c r="F810" s="14">
        <v>51941.655808000003</v>
      </c>
      <c r="G810" s="14">
        <v>22110.46</v>
      </c>
      <c r="H810" s="14">
        <v>22110.46</v>
      </c>
      <c r="I810" s="14">
        <v>1968.758765</v>
      </c>
      <c r="J810" s="19">
        <v>0</v>
      </c>
    </row>
    <row r="811" spans="1:10" x14ac:dyDescent="0.25">
      <c r="A811" s="1" t="s">
        <v>350</v>
      </c>
      <c r="B811" s="4">
        <v>3008</v>
      </c>
      <c r="C811" s="14">
        <v>34895.720323000001</v>
      </c>
      <c r="D811" s="14">
        <v>24432.06</v>
      </c>
      <c r="E811" s="14">
        <v>51542.234630999999</v>
      </c>
      <c r="F811" s="14">
        <v>57411.112163999998</v>
      </c>
      <c r="G811" s="14">
        <v>24432.06</v>
      </c>
      <c r="H811" s="14">
        <v>24432.06</v>
      </c>
      <c r="I811" s="14">
        <v>2175.4785870000001</v>
      </c>
      <c r="J811" s="19">
        <v>0</v>
      </c>
    </row>
    <row r="812" spans="1:10" x14ac:dyDescent="0.25">
      <c r="A812" s="1" t="s">
        <v>351</v>
      </c>
      <c r="B812" s="4">
        <v>3318</v>
      </c>
      <c r="C812" s="14">
        <v>38797.061855</v>
      </c>
      <c r="D812" s="14">
        <v>27510.5</v>
      </c>
      <c r="E812" s="14">
        <v>55423.364898</v>
      </c>
      <c r="F812" s="14">
        <v>64667.876741</v>
      </c>
      <c r="G812" s="14">
        <v>27510.5</v>
      </c>
      <c r="H812" s="14">
        <v>27510.5</v>
      </c>
      <c r="I812" s="14">
        <v>2449.5889280000001</v>
      </c>
      <c r="J812" s="19">
        <v>0</v>
      </c>
    </row>
    <row r="813" spans="1:10" x14ac:dyDescent="0.25">
      <c r="A813" s="1" t="s">
        <v>352</v>
      </c>
      <c r="B813" s="4">
        <v>3802</v>
      </c>
      <c r="C813" s="14">
        <v>42556.497148000002</v>
      </c>
      <c r="D813" s="14">
        <v>30316.57</v>
      </c>
      <c r="E813" s="14">
        <v>62656.114017</v>
      </c>
      <c r="F813" s="14">
        <v>71238.133017</v>
      </c>
      <c r="G813" s="14">
        <v>30316.57</v>
      </c>
      <c r="H813" s="14">
        <v>30316.57</v>
      </c>
      <c r="I813" s="14">
        <v>2699.4469100000001</v>
      </c>
      <c r="J813" s="19">
        <v>0</v>
      </c>
    </row>
    <row r="814" spans="1:10" x14ac:dyDescent="0.25">
      <c r="A814" s="1" t="s">
        <v>353</v>
      </c>
      <c r="B814" s="4">
        <v>4161</v>
      </c>
      <c r="C814" s="14">
        <v>47148.34319</v>
      </c>
      <c r="D814" s="14">
        <v>34166.769999999997</v>
      </c>
      <c r="E814" s="14">
        <v>69917.957630999997</v>
      </c>
      <c r="F814" s="14">
        <v>80292.499723000001</v>
      </c>
      <c r="G814" s="14">
        <v>34166.769999999997</v>
      </c>
      <c r="H814" s="14">
        <v>34166.769999999997</v>
      </c>
      <c r="I814" s="14">
        <v>3042.2762760000001</v>
      </c>
      <c r="J814" s="19">
        <v>0</v>
      </c>
    </row>
    <row r="815" spans="1:10" x14ac:dyDescent="0.25">
      <c r="A815" s="1" t="s">
        <v>354</v>
      </c>
      <c r="B815" s="4">
        <v>4680</v>
      </c>
      <c r="C815" s="14">
        <v>51075.800176999997</v>
      </c>
      <c r="D815" s="14">
        <v>38208.46</v>
      </c>
      <c r="E815" s="14">
        <v>76070.737901999993</v>
      </c>
      <c r="F815" s="14">
        <v>86089.618203000005</v>
      </c>
      <c r="G815" s="14">
        <v>38208.46</v>
      </c>
      <c r="H815" s="14">
        <v>38208.46</v>
      </c>
      <c r="I815" s="14">
        <v>3402.156289</v>
      </c>
      <c r="J815" s="19">
        <v>0</v>
      </c>
    </row>
    <row r="816" spans="1:10" x14ac:dyDescent="0.25">
      <c r="A816" s="1" t="s">
        <v>355</v>
      </c>
      <c r="B816" s="4">
        <v>5200</v>
      </c>
      <c r="C816" s="14">
        <v>55626.653972</v>
      </c>
      <c r="D816" s="14">
        <v>42031.56</v>
      </c>
      <c r="E816" s="14">
        <v>93125.797338999997</v>
      </c>
      <c r="F816" s="14">
        <v>92787.390499000001</v>
      </c>
      <c r="G816" s="14">
        <v>42031.56</v>
      </c>
      <c r="H816" s="14">
        <v>42031.56</v>
      </c>
      <c r="I816" s="14">
        <v>3742.5726180000001</v>
      </c>
      <c r="J816" s="19">
        <v>0</v>
      </c>
    </row>
    <row r="817" spans="1:10" x14ac:dyDescent="0.25">
      <c r="A817" s="1" t="s">
        <v>356</v>
      </c>
      <c r="B817" s="4">
        <v>5710</v>
      </c>
      <c r="C817" s="14">
        <v>60165.788935999997</v>
      </c>
      <c r="D817" s="14">
        <v>45901.91</v>
      </c>
      <c r="E817" s="14">
        <v>99057.910629000005</v>
      </c>
      <c r="F817" s="14">
        <v>100061.92191400001</v>
      </c>
      <c r="G817" s="14">
        <v>45901.91</v>
      </c>
      <c r="H817" s="14">
        <v>45901.91</v>
      </c>
      <c r="I817" s="14">
        <v>4087.1961799999999</v>
      </c>
      <c r="J817" s="19">
        <v>0</v>
      </c>
    </row>
    <row r="818" spans="1:10" x14ac:dyDescent="0.25">
      <c r="A818" s="1" t="s">
        <v>357</v>
      </c>
      <c r="B818" s="4">
        <v>6200</v>
      </c>
      <c r="C818" s="14">
        <v>67024.688873999999</v>
      </c>
      <c r="D818" s="14">
        <v>49396.88</v>
      </c>
      <c r="E818" s="14">
        <v>108765.58587</v>
      </c>
      <c r="F818" s="14">
        <v>108987.44534799999</v>
      </c>
      <c r="G818" s="14">
        <v>49396.88</v>
      </c>
      <c r="H818" s="14">
        <v>49396.88</v>
      </c>
      <c r="I818" s="14">
        <v>4398.3951699999998</v>
      </c>
      <c r="J818" s="19">
        <v>0</v>
      </c>
    </row>
    <row r="819" spans="1:10" x14ac:dyDescent="0.25">
      <c r="A819" s="1" t="s">
        <v>358</v>
      </c>
      <c r="B819" s="4">
        <v>6700</v>
      </c>
      <c r="C819" s="14">
        <v>74873.279941000001</v>
      </c>
      <c r="D819" s="14">
        <v>53437.4</v>
      </c>
      <c r="E819" s="14">
        <v>123046.507294</v>
      </c>
      <c r="F819" s="14">
        <v>124245.68769599999</v>
      </c>
      <c r="G819" s="14">
        <v>53437.4</v>
      </c>
      <c r="H819" s="14">
        <v>53437.4</v>
      </c>
      <c r="I819" s="14">
        <v>4758.1710030000004</v>
      </c>
      <c r="J819" s="19">
        <v>0</v>
      </c>
    </row>
    <row r="820" spans="1:10" x14ac:dyDescent="0.25">
      <c r="A820" s="8" t="s">
        <v>359</v>
      </c>
      <c r="B820" s="4">
        <v>7455</v>
      </c>
      <c r="C820" s="14">
        <v>80578.623871999996</v>
      </c>
      <c r="D820" s="14">
        <v>58300.2</v>
      </c>
      <c r="E820" s="14">
        <v>134883.58129500001</v>
      </c>
      <c r="F820" s="14">
        <v>135589.318982</v>
      </c>
      <c r="G820" s="14">
        <v>58300.2</v>
      </c>
      <c r="H820" s="14">
        <v>58300.2</v>
      </c>
      <c r="I820" s="14">
        <v>5191.1642620000002</v>
      </c>
      <c r="J820" s="19">
        <v>0</v>
      </c>
    </row>
    <row r="821" spans="1:10" x14ac:dyDescent="0.25">
      <c r="A821" s="1" t="s">
        <v>360</v>
      </c>
      <c r="B821" s="4">
        <v>8135</v>
      </c>
      <c r="C821" s="14">
        <v>90320.579498000006</v>
      </c>
      <c r="D821" s="14">
        <v>63547.22</v>
      </c>
      <c r="E821" s="14">
        <v>143988.22303200001</v>
      </c>
      <c r="F821" s="14">
        <v>147860.15234900001</v>
      </c>
      <c r="G821" s="14">
        <v>63547.22</v>
      </c>
      <c r="H821" s="14">
        <v>63547.22</v>
      </c>
      <c r="I821" s="14">
        <v>5658.369224</v>
      </c>
      <c r="J821" s="19">
        <v>0</v>
      </c>
    </row>
    <row r="822" spans="1:10" x14ac:dyDescent="0.25">
      <c r="A822" s="1" t="s">
        <v>361</v>
      </c>
      <c r="B822" s="4">
        <v>8870</v>
      </c>
      <c r="C822" s="14">
        <v>101845.485441</v>
      </c>
      <c r="D822" s="14">
        <v>70613.67</v>
      </c>
      <c r="E822" s="14">
        <v>174196.95222400001</v>
      </c>
      <c r="F822" s="14">
        <v>169965.24512499999</v>
      </c>
      <c r="G822" s="14">
        <v>70613.67</v>
      </c>
      <c r="H822" s="14">
        <v>70613.67</v>
      </c>
      <c r="I822" s="14">
        <v>6287.579804</v>
      </c>
      <c r="J822" s="19">
        <v>0</v>
      </c>
    </row>
    <row r="823" spans="1:10" x14ac:dyDescent="0.25">
      <c r="A823" s="1" t="s">
        <v>362</v>
      </c>
      <c r="B823" s="4">
        <v>9855</v>
      </c>
      <c r="C823" s="14">
        <v>114535.43292599999</v>
      </c>
      <c r="D823" s="14">
        <v>80047.66</v>
      </c>
      <c r="E823" s="14">
        <v>197730.96046900001</v>
      </c>
      <c r="F823" s="14">
        <v>192400.657481</v>
      </c>
      <c r="G823" s="14">
        <v>80047.66</v>
      </c>
      <c r="H823" s="14">
        <v>80047.66</v>
      </c>
      <c r="I823" s="14">
        <v>7127.6007950000003</v>
      </c>
      <c r="J823" s="19">
        <v>0</v>
      </c>
    </row>
    <row r="824" spans="1:10" x14ac:dyDescent="0.25">
      <c r="A824" s="1" t="s">
        <v>363</v>
      </c>
      <c r="B824" s="4">
        <v>11170</v>
      </c>
      <c r="C824" s="14">
        <v>130627.66125200001</v>
      </c>
      <c r="D824" s="14">
        <v>93039.4</v>
      </c>
      <c r="E824" s="14">
        <v>225334.20254999999</v>
      </c>
      <c r="F824" s="14">
        <v>226628.73444599999</v>
      </c>
      <c r="G824" s="14">
        <v>93039.4</v>
      </c>
      <c r="H824" s="14">
        <v>93039.4</v>
      </c>
      <c r="I824" s="14">
        <v>8284.4108290000004</v>
      </c>
      <c r="J824" s="19">
        <v>0</v>
      </c>
    </row>
    <row r="825" spans="1:10" x14ac:dyDescent="0.25">
      <c r="A825" s="1" t="s">
        <v>364</v>
      </c>
      <c r="B825" s="4">
        <v>12.984999999999999</v>
      </c>
      <c r="C825" s="14">
        <v>144.81382526300001</v>
      </c>
      <c r="D825" s="14">
        <v>106.4</v>
      </c>
      <c r="E825" s="14">
        <v>252.57710763799997</v>
      </c>
      <c r="F825" s="14">
        <v>260.577718866</v>
      </c>
      <c r="G825" s="14">
        <v>106.4</v>
      </c>
      <c r="H825" s="14">
        <v>106.4</v>
      </c>
      <c r="I825" s="14">
        <v>9.4740649999999995</v>
      </c>
      <c r="J825" s="19">
        <v>0</v>
      </c>
    </row>
    <row r="826" spans="1:10" x14ac:dyDescent="0.25">
      <c r="A826" s="1" t="s">
        <v>365</v>
      </c>
      <c r="B826" s="4">
        <v>13.84</v>
      </c>
      <c r="C826" s="14">
        <v>147.46391800000001</v>
      </c>
      <c r="D826" s="14">
        <v>106.28</v>
      </c>
      <c r="E826" s="14">
        <v>280.48687799999999</v>
      </c>
      <c r="F826" s="14">
        <v>274.96160800000001</v>
      </c>
      <c r="G826" s="14">
        <v>106.28</v>
      </c>
      <c r="H826" s="14">
        <v>106.28</v>
      </c>
      <c r="I826" s="14">
        <v>9.4633800000000008</v>
      </c>
      <c r="J826" s="19">
        <v>0</v>
      </c>
    </row>
    <row r="827" spans="1:10" x14ac:dyDescent="0.25">
      <c r="A827" s="1" t="s">
        <v>366</v>
      </c>
      <c r="B827" s="4">
        <v>13.84</v>
      </c>
      <c r="C827" s="14">
        <v>150.87033400000001</v>
      </c>
      <c r="D827" s="14">
        <v>107.12</v>
      </c>
      <c r="E827" s="14">
        <v>279.56127099999998</v>
      </c>
      <c r="F827" s="14">
        <v>273.36682999999999</v>
      </c>
      <c r="G827" s="14">
        <v>107.12</v>
      </c>
      <c r="H827" s="14">
        <v>107.12</v>
      </c>
      <c r="I827" s="14">
        <v>9.5381750000000007</v>
      </c>
      <c r="J827" s="19">
        <v>0</v>
      </c>
    </row>
    <row r="828" spans="1:10" x14ac:dyDescent="0.25">
      <c r="A828" s="1" t="s">
        <v>367</v>
      </c>
      <c r="B828" s="4">
        <v>13.84</v>
      </c>
      <c r="C828" s="14">
        <v>153.767044</v>
      </c>
      <c r="D828" s="14">
        <v>108.61</v>
      </c>
      <c r="E828" s="14">
        <v>280.23221799999999</v>
      </c>
      <c r="F828" s="14">
        <v>274.241603</v>
      </c>
      <c r="G828" s="14">
        <v>108.61</v>
      </c>
      <c r="H828" s="14">
        <v>108.61</v>
      </c>
      <c r="I828" s="14">
        <v>9.6708479999999994</v>
      </c>
      <c r="J828" s="19">
        <v>0</v>
      </c>
    </row>
    <row r="829" spans="1:10" x14ac:dyDescent="0.25">
      <c r="A829" s="1" t="s">
        <v>368</v>
      </c>
      <c r="B829" s="4">
        <v>13.84</v>
      </c>
      <c r="C829" s="14">
        <v>155.24320700000001</v>
      </c>
      <c r="D829" s="14">
        <v>109.99</v>
      </c>
      <c r="E829" s="14">
        <v>283.566981</v>
      </c>
      <c r="F829" s="14">
        <v>275.69508300000001</v>
      </c>
      <c r="G829" s="14">
        <v>109.99</v>
      </c>
      <c r="H829" s="14">
        <v>109.99</v>
      </c>
      <c r="I829" s="14">
        <v>9.7937259999999995</v>
      </c>
      <c r="J829" s="19">
        <v>0</v>
      </c>
    </row>
    <row r="830" spans="1:10" x14ac:dyDescent="0.25">
      <c r="A830" s="1" t="s">
        <v>369</v>
      </c>
      <c r="B830" s="4">
        <v>13.84</v>
      </c>
      <c r="C830" s="14">
        <v>156.90430900000001</v>
      </c>
      <c r="D830" s="14">
        <v>111.31</v>
      </c>
      <c r="E830" s="14">
        <v>286.629504</v>
      </c>
      <c r="F830" s="14">
        <v>277.431962</v>
      </c>
      <c r="G830" s="14">
        <v>111.31</v>
      </c>
      <c r="H830" s="14">
        <v>111.31</v>
      </c>
      <c r="I830" s="14">
        <v>9.9112609999999997</v>
      </c>
      <c r="J830" s="19">
        <v>0</v>
      </c>
    </row>
    <row r="831" spans="1:10" x14ac:dyDescent="0.25">
      <c r="A831" s="1" t="s">
        <v>370</v>
      </c>
      <c r="B831" s="4">
        <v>13.84</v>
      </c>
      <c r="C831" s="14">
        <v>159.85410999999999</v>
      </c>
      <c r="D831" s="14">
        <v>113.18</v>
      </c>
      <c r="E831" s="14">
        <v>294.33983699999999</v>
      </c>
      <c r="F831" s="14">
        <v>281.12180699999999</v>
      </c>
      <c r="G831" s="14">
        <v>113.18</v>
      </c>
      <c r="H831" s="14">
        <v>113.18</v>
      </c>
      <c r="I831" s="14">
        <v>10.077769</v>
      </c>
      <c r="J831" s="19">
        <v>0</v>
      </c>
    </row>
    <row r="832" spans="1:10" x14ac:dyDescent="0.25">
      <c r="A832" s="8" t="s">
        <v>371</v>
      </c>
      <c r="B832" s="4">
        <v>13.84</v>
      </c>
      <c r="C832" s="14">
        <v>162.14002300000001</v>
      </c>
      <c r="D832" s="14">
        <v>115.13</v>
      </c>
      <c r="E832" s="14">
        <v>306.025128</v>
      </c>
      <c r="F832" s="14">
        <v>284.18603400000001</v>
      </c>
      <c r="G832" s="14">
        <v>115.13</v>
      </c>
      <c r="H832" s="14">
        <v>115.13</v>
      </c>
      <c r="I832" s="14">
        <v>10.251401</v>
      </c>
      <c r="J832" s="19">
        <v>0</v>
      </c>
    </row>
    <row r="833" spans="1:10" x14ac:dyDescent="0.25">
      <c r="A833" s="1" t="s">
        <v>372</v>
      </c>
      <c r="B833" s="4">
        <v>13.84</v>
      </c>
      <c r="C833" s="14">
        <v>167.13393500000001</v>
      </c>
      <c r="D833" s="14">
        <v>117.32</v>
      </c>
      <c r="E833" s="14">
        <v>317.50107000000003</v>
      </c>
      <c r="F833" s="14">
        <v>288.13621899999998</v>
      </c>
      <c r="G833" s="14">
        <v>117.32</v>
      </c>
      <c r="H833" s="14">
        <v>117.32</v>
      </c>
      <c r="I833" s="14">
        <v>10.446403</v>
      </c>
      <c r="J833" s="19">
        <v>0</v>
      </c>
    </row>
    <row r="834" spans="1:10" x14ac:dyDescent="0.25">
      <c r="A834" s="1" t="s">
        <v>373</v>
      </c>
      <c r="B834" s="4">
        <v>14.09</v>
      </c>
      <c r="C834" s="14">
        <v>174.53796800000001</v>
      </c>
      <c r="D834" s="14">
        <v>121.17</v>
      </c>
      <c r="E834" s="14">
        <v>333.91587500000003</v>
      </c>
      <c r="F834" s="14">
        <v>295.22436900000002</v>
      </c>
      <c r="G834" s="14">
        <v>121.17</v>
      </c>
      <c r="H834" s="14">
        <v>121.17</v>
      </c>
      <c r="I834" s="14">
        <v>10.789215</v>
      </c>
      <c r="J834" s="19">
        <v>0</v>
      </c>
    </row>
    <row r="835" spans="1:10" x14ac:dyDescent="0.25">
      <c r="A835" s="1" t="s">
        <v>374</v>
      </c>
      <c r="B835" s="4">
        <v>14.452</v>
      </c>
      <c r="C835" s="14">
        <v>192.515378</v>
      </c>
      <c r="D835" s="14">
        <v>129.97999999999999</v>
      </c>
      <c r="E835" s="14">
        <v>358.42529999999999</v>
      </c>
      <c r="F835" s="14">
        <v>317.54333100000002</v>
      </c>
      <c r="G835" s="14">
        <v>129.97999999999999</v>
      </c>
      <c r="H835" s="14">
        <v>129.97999999999999</v>
      </c>
      <c r="I835" s="14">
        <v>11.573674</v>
      </c>
      <c r="J835" s="19">
        <v>0</v>
      </c>
    </row>
    <row r="836" spans="1:10" x14ac:dyDescent="0.25">
      <c r="A836" s="1" t="s">
        <v>375</v>
      </c>
      <c r="B836" s="4">
        <v>15.589</v>
      </c>
      <c r="C836" s="14">
        <v>218.986242</v>
      </c>
      <c r="D836" s="14">
        <v>151.85</v>
      </c>
      <c r="E836" s="14">
        <v>408.60484200000002</v>
      </c>
      <c r="F836" s="14">
        <v>355.77554800000001</v>
      </c>
      <c r="G836" s="14">
        <v>151.85</v>
      </c>
      <c r="H836" s="14">
        <v>151.85</v>
      </c>
      <c r="I836" s="14">
        <v>13.521022</v>
      </c>
      <c r="J836" s="19">
        <v>0</v>
      </c>
    </row>
    <row r="837" spans="1:10" x14ac:dyDescent="0.25">
      <c r="A837" s="1" t="s">
        <v>376</v>
      </c>
      <c r="B837" s="4">
        <v>17.984999999999999</v>
      </c>
      <c r="C837" s="14">
        <v>243.68789000000001</v>
      </c>
      <c r="D837" s="14">
        <v>181.61</v>
      </c>
      <c r="E837" s="14">
        <v>541.23797300000001</v>
      </c>
      <c r="F837" s="14">
        <v>405.97547700000001</v>
      </c>
      <c r="G837" s="14">
        <v>181.61</v>
      </c>
      <c r="H837" s="14">
        <v>181.61</v>
      </c>
      <c r="I837" s="14">
        <v>16.170911</v>
      </c>
      <c r="J837" s="19">
        <v>0</v>
      </c>
    </row>
    <row r="838" spans="1:10" x14ac:dyDescent="0.25">
      <c r="A838" s="1" t="s">
        <v>377</v>
      </c>
      <c r="B838" s="4">
        <v>20.728999999999999</v>
      </c>
      <c r="C838" s="14">
        <v>272.85732999999999</v>
      </c>
      <c r="D838" s="14">
        <v>207.97</v>
      </c>
      <c r="E838" s="14">
        <v>663.50363100000004</v>
      </c>
      <c r="F838" s="14">
        <v>466.87179800000001</v>
      </c>
      <c r="G838" s="14">
        <v>207.97</v>
      </c>
      <c r="H838" s="14">
        <v>207.97</v>
      </c>
      <c r="I838" s="14">
        <v>18.518056999999999</v>
      </c>
      <c r="J838" s="19">
        <v>0</v>
      </c>
    </row>
    <row r="839" spans="1:10" x14ac:dyDescent="0.25">
      <c r="A839" s="1" t="s">
        <v>378</v>
      </c>
      <c r="B839" s="4">
        <v>23.82</v>
      </c>
      <c r="C839" s="14">
        <v>318.015218</v>
      </c>
      <c r="D839" s="14">
        <v>251.56</v>
      </c>
      <c r="E839" s="14">
        <v>751.48421199999996</v>
      </c>
      <c r="F839" s="14">
        <v>560.61965499999997</v>
      </c>
      <c r="G839" s="14">
        <v>251.56</v>
      </c>
      <c r="H839" s="14">
        <v>251.56</v>
      </c>
      <c r="I839" s="14">
        <v>22.399395999999999</v>
      </c>
      <c r="J839" s="19">
        <v>0</v>
      </c>
    </row>
    <row r="840" spans="1:10" x14ac:dyDescent="0.25">
      <c r="A840" s="1" t="s">
        <v>379</v>
      </c>
      <c r="B840" s="4">
        <v>30.873999999999999</v>
      </c>
      <c r="C840" s="14">
        <v>402.25744900000001</v>
      </c>
      <c r="D840" s="14">
        <v>310.52999999999997</v>
      </c>
      <c r="E840" s="14">
        <v>902.45739000000003</v>
      </c>
      <c r="F840" s="14">
        <v>715.23855500000002</v>
      </c>
      <c r="G840" s="14">
        <v>310.52999999999997</v>
      </c>
      <c r="H840" s="14">
        <v>310.52999999999997</v>
      </c>
      <c r="I840" s="14">
        <v>27.650200999999999</v>
      </c>
      <c r="J840" s="19">
        <v>0</v>
      </c>
    </row>
    <row r="841" spans="1:10" x14ac:dyDescent="0.25">
      <c r="A841" s="1" t="s">
        <v>380</v>
      </c>
      <c r="B841" s="4">
        <v>38.097000000000001</v>
      </c>
      <c r="C841" s="14">
        <v>509.90154200000001</v>
      </c>
      <c r="D841" s="14">
        <v>366.49</v>
      </c>
      <c r="E841" s="14">
        <v>1091.341721</v>
      </c>
      <c r="F841" s="14">
        <v>900.34229300000004</v>
      </c>
      <c r="G841" s="14">
        <v>366.49</v>
      </c>
      <c r="H841" s="14">
        <v>366.49</v>
      </c>
      <c r="I841" s="14">
        <v>32.632989000000002</v>
      </c>
      <c r="J841" s="19">
        <v>0</v>
      </c>
    </row>
    <row r="842" spans="1:10" x14ac:dyDescent="0.25">
      <c r="A842" s="1" t="s">
        <v>381</v>
      </c>
      <c r="B842" s="4">
        <v>44.917999999999999</v>
      </c>
      <c r="C842" s="14">
        <v>557.01644399999998</v>
      </c>
      <c r="D842" s="14">
        <v>377.67</v>
      </c>
      <c r="E842" s="14">
        <v>1175.5933010000001</v>
      </c>
      <c r="F842" s="14">
        <v>984.34422800000004</v>
      </c>
      <c r="G842" s="14">
        <v>377.67</v>
      </c>
      <c r="H842" s="14">
        <v>377.67</v>
      </c>
      <c r="I842" s="14">
        <v>33.628478000000001</v>
      </c>
      <c r="J842" s="19">
        <v>0</v>
      </c>
    </row>
    <row r="843" spans="1:10" x14ac:dyDescent="0.25">
      <c r="A843" s="1" t="s">
        <v>382</v>
      </c>
      <c r="B843" s="4">
        <v>46.930999999999997</v>
      </c>
      <c r="C843" s="14">
        <v>581.803675</v>
      </c>
      <c r="D843" s="14">
        <v>401.69</v>
      </c>
      <c r="E843" s="14">
        <v>1214.505439</v>
      </c>
      <c r="F843" s="14">
        <v>1028.6397179999999</v>
      </c>
      <c r="G843" s="14">
        <v>401.69</v>
      </c>
      <c r="H843" s="14">
        <v>401.69</v>
      </c>
      <c r="I843" s="14">
        <v>35.767265999999999</v>
      </c>
      <c r="J843" s="19">
        <v>0</v>
      </c>
    </row>
    <row r="844" spans="1:10" x14ac:dyDescent="0.25">
      <c r="A844" s="8" t="s">
        <v>383</v>
      </c>
      <c r="B844" s="4">
        <v>49.719000000000001</v>
      </c>
      <c r="C844" s="14">
        <v>620.95906200000002</v>
      </c>
      <c r="D844" s="14">
        <v>424.51</v>
      </c>
      <c r="E844" s="14">
        <v>1305.107544</v>
      </c>
      <c r="F844" s="14">
        <v>1111.1366230000001</v>
      </c>
      <c r="G844" s="14">
        <v>424.51</v>
      </c>
      <c r="H844" s="14">
        <v>424.51</v>
      </c>
      <c r="I844" s="14">
        <v>37.799204000000003</v>
      </c>
      <c r="J844" s="19">
        <v>0</v>
      </c>
    </row>
    <row r="845" spans="1:10" x14ac:dyDescent="0.25">
      <c r="A845" s="1" t="s">
        <v>384</v>
      </c>
      <c r="B845" s="4">
        <v>53.015999999999998</v>
      </c>
      <c r="C845" s="14">
        <v>684.11059799999998</v>
      </c>
      <c r="D845" s="14">
        <v>463.48</v>
      </c>
      <c r="E845" s="14">
        <v>1436.792895</v>
      </c>
      <c r="F845" s="14">
        <v>1235.028356</v>
      </c>
      <c r="G845" s="14">
        <v>463.48</v>
      </c>
      <c r="H845" s="14">
        <v>463.48</v>
      </c>
      <c r="I845" s="14">
        <v>41.269168999999998</v>
      </c>
      <c r="J845" s="19">
        <v>0</v>
      </c>
    </row>
    <row r="846" spans="1:10" x14ac:dyDescent="0.25">
      <c r="A846" s="1" t="s">
        <v>385</v>
      </c>
      <c r="B846" s="4">
        <v>58.026000000000003</v>
      </c>
      <c r="C846" s="14">
        <v>775.78141800000003</v>
      </c>
      <c r="D846" s="14">
        <v>522.99</v>
      </c>
      <c r="E846" s="14">
        <v>1626.018519</v>
      </c>
      <c r="F846" s="14">
        <v>1413.613456</v>
      </c>
      <c r="G846" s="14">
        <v>522.99</v>
      </c>
      <c r="H846" s="14">
        <v>522.99</v>
      </c>
      <c r="I846" s="14">
        <v>46.568055999999999</v>
      </c>
      <c r="J846" s="19">
        <v>0</v>
      </c>
    </row>
    <row r="847" spans="1:10" x14ac:dyDescent="0.25">
      <c r="A847" s="1" t="s">
        <v>386</v>
      </c>
      <c r="B847" s="4">
        <v>67.423000000000002</v>
      </c>
      <c r="C847" s="14">
        <v>899.28581899999995</v>
      </c>
      <c r="D847" s="14">
        <v>596.94000000000005</v>
      </c>
      <c r="E847" s="14">
        <v>1851.709889</v>
      </c>
      <c r="F847" s="14">
        <v>1638.2366340000001</v>
      </c>
      <c r="G847" s="14">
        <v>596.94000000000005</v>
      </c>
      <c r="H847" s="14">
        <v>596.94000000000005</v>
      </c>
      <c r="I847" s="14">
        <v>53.152709999999999</v>
      </c>
      <c r="J847" s="19">
        <v>0</v>
      </c>
    </row>
    <row r="848" spans="1:10" x14ac:dyDescent="0.25">
      <c r="A848" s="1" t="s">
        <v>387</v>
      </c>
      <c r="B848" s="4">
        <v>77.277000000000001</v>
      </c>
      <c r="C848" s="14">
        <v>1031.480834</v>
      </c>
      <c r="D848" s="14">
        <v>695.5</v>
      </c>
      <c r="E848" s="14">
        <v>2173.7222379999998</v>
      </c>
      <c r="F848" s="14">
        <v>1951.7951250000001</v>
      </c>
      <c r="G848" s="14">
        <v>695.5</v>
      </c>
      <c r="H848" s="14">
        <v>695.5</v>
      </c>
      <c r="I848" s="14">
        <v>61.928685000000002</v>
      </c>
      <c r="J848" s="19">
        <v>0</v>
      </c>
    </row>
    <row r="849" spans="1:10" x14ac:dyDescent="0.25">
      <c r="A849" s="1" t="s">
        <v>388</v>
      </c>
      <c r="B849" s="4">
        <v>90.537999999999997</v>
      </c>
      <c r="C849" s="14">
        <v>1169.4929689999999</v>
      </c>
      <c r="D849" s="14">
        <v>820.42</v>
      </c>
      <c r="E849" s="14">
        <v>2516.7356070000001</v>
      </c>
      <c r="F849" s="14">
        <v>2296.2869639999999</v>
      </c>
      <c r="G849" s="14">
        <v>820.42</v>
      </c>
      <c r="H849" s="14">
        <v>820.42</v>
      </c>
      <c r="I849" s="14">
        <v>73.051806999999997</v>
      </c>
      <c r="J849" s="19">
        <v>0</v>
      </c>
    </row>
    <row r="850" spans="1:10" x14ac:dyDescent="0.25">
      <c r="A850" s="1" t="s">
        <v>389</v>
      </c>
      <c r="B850" s="4">
        <v>106.8</v>
      </c>
      <c r="C850" s="14">
        <v>1387.6034070000001</v>
      </c>
      <c r="D850" s="14">
        <v>951.77</v>
      </c>
      <c r="E850" s="14">
        <v>3006.4923560000002</v>
      </c>
      <c r="F850" s="14">
        <v>2713.292676</v>
      </c>
      <c r="G850" s="14">
        <v>951.77</v>
      </c>
      <c r="H850" s="14">
        <v>951.77</v>
      </c>
      <c r="I850" s="14">
        <v>84.747468999999995</v>
      </c>
      <c r="J850" s="19">
        <v>0</v>
      </c>
    </row>
    <row r="851" spans="1:10" x14ac:dyDescent="0.25">
      <c r="A851" s="1" t="s">
        <v>390</v>
      </c>
      <c r="B851" s="4">
        <v>125.15</v>
      </c>
      <c r="C851" s="14">
        <v>1681.359048</v>
      </c>
      <c r="D851" s="14">
        <v>1135.27</v>
      </c>
      <c r="E851" s="14">
        <v>3518.1973539999999</v>
      </c>
      <c r="F851" s="14">
        <v>3264.9050769999999</v>
      </c>
      <c r="G851" s="14">
        <v>1135.27</v>
      </c>
      <c r="H851" s="14">
        <v>1135.27</v>
      </c>
      <c r="I851" s="14">
        <v>101.08667</v>
      </c>
      <c r="J851" s="19">
        <v>0</v>
      </c>
    </row>
    <row r="852" spans="1:10" x14ac:dyDescent="0.25">
      <c r="A852" s="1" t="s">
        <v>391</v>
      </c>
      <c r="B852" s="4">
        <v>148.38999999999999</v>
      </c>
      <c r="C852" s="14">
        <v>1954.5798930000001</v>
      </c>
      <c r="D852" s="14">
        <v>1337.12</v>
      </c>
      <c r="E852" s="14">
        <v>4349.8992079999998</v>
      </c>
      <c r="F852" s="14">
        <v>3901.8880570000001</v>
      </c>
      <c r="G852" s="14">
        <v>1337.12</v>
      </c>
      <c r="H852" s="14">
        <v>1337.12</v>
      </c>
      <c r="I852" s="14">
        <v>119.05979000000001</v>
      </c>
      <c r="J852" s="19">
        <v>0</v>
      </c>
    </row>
    <row r="853" spans="1:10" x14ac:dyDescent="0.25">
      <c r="A853" s="1" t="s">
        <v>392</v>
      </c>
      <c r="B853" s="4">
        <v>177.05</v>
      </c>
      <c r="C853" s="14">
        <v>2378.7237289999998</v>
      </c>
      <c r="D853" s="14">
        <v>1598.26</v>
      </c>
      <c r="E853" s="14">
        <v>5228.5788480000001</v>
      </c>
      <c r="F853" s="14">
        <v>4714.651339</v>
      </c>
      <c r="G853" s="14">
        <v>1598.26</v>
      </c>
      <c r="H853" s="14">
        <v>1598.26</v>
      </c>
      <c r="I853" s="14">
        <v>142.312208</v>
      </c>
      <c r="J853" s="19">
        <v>0</v>
      </c>
    </row>
    <row r="854" spans="1:10" x14ac:dyDescent="0.25">
      <c r="A854" s="1" t="s">
        <v>393</v>
      </c>
      <c r="B854" s="4">
        <v>213.91</v>
      </c>
      <c r="C854" s="14">
        <v>2917.504653</v>
      </c>
      <c r="D854" s="14">
        <v>1982.48</v>
      </c>
      <c r="E854" s="14">
        <v>6259.131738</v>
      </c>
      <c r="F854" s="14">
        <v>5730.1872370000001</v>
      </c>
      <c r="G854" s="14">
        <v>1982.48</v>
      </c>
      <c r="H854" s="14">
        <v>1982.48</v>
      </c>
      <c r="I854" s="14">
        <v>176.523911</v>
      </c>
      <c r="J854" s="19">
        <v>0</v>
      </c>
    </row>
    <row r="855" spans="1:10" x14ac:dyDescent="0.25">
      <c r="A855" s="1" t="s">
        <v>394</v>
      </c>
      <c r="B855" s="4">
        <v>264.97000000000003</v>
      </c>
      <c r="C855" s="14">
        <v>3491.3778179999999</v>
      </c>
      <c r="D855" s="14">
        <v>2392.06</v>
      </c>
      <c r="E855" s="14">
        <v>7629.2556750000003</v>
      </c>
      <c r="F855" s="14">
        <v>7041.8270949999996</v>
      </c>
      <c r="G855" s="14">
        <v>2392.06</v>
      </c>
      <c r="H855" s="14">
        <v>2392.06</v>
      </c>
      <c r="I855" s="14">
        <v>212.993718</v>
      </c>
      <c r="J855" s="19">
        <v>0</v>
      </c>
    </row>
    <row r="856" spans="1:10" x14ac:dyDescent="0.25">
      <c r="A856" s="8" t="s">
        <v>395</v>
      </c>
      <c r="B856" s="4">
        <v>321.35000000000002</v>
      </c>
      <c r="C856" s="14">
        <v>4315.3429829999995</v>
      </c>
      <c r="D856" s="14">
        <v>2966.39</v>
      </c>
      <c r="E856" s="14">
        <v>9564.0349139999998</v>
      </c>
      <c r="F856" s="14">
        <v>8855.8017540000001</v>
      </c>
      <c r="G856" s="14">
        <v>2966.39</v>
      </c>
      <c r="H856" s="14">
        <v>2966.39</v>
      </c>
      <c r="I856" s="14">
        <v>264.13318900000002</v>
      </c>
      <c r="J856" s="19">
        <v>0</v>
      </c>
    </row>
    <row r="857" spans="1:10" x14ac:dyDescent="0.25">
      <c r="A857" s="1" t="s">
        <v>396</v>
      </c>
      <c r="B857" s="4">
        <v>403.69</v>
      </c>
      <c r="C857" s="14">
        <v>5544.352664</v>
      </c>
      <c r="D857" s="14">
        <v>3774.73</v>
      </c>
      <c r="E857" s="14">
        <v>12871.278187</v>
      </c>
      <c r="F857" s="14">
        <v>11298.231877</v>
      </c>
      <c r="G857" s="14">
        <v>3774.73</v>
      </c>
      <c r="H857" s="14">
        <v>3774.73</v>
      </c>
      <c r="I857" s="14">
        <v>336.10937000000001</v>
      </c>
      <c r="J857" s="19">
        <v>0</v>
      </c>
    </row>
    <row r="858" spans="1:10" x14ac:dyDescent="0.25">
      <c r="A858" s="1" t="s">
        <v>397</v>
      </c>
      <c r="B858" s="4">
        <v>519.6</v>
      </c>
      <c r="C858" s="14">
        <v>6973.132345</v>
      </c>
      <c r="D858" s="14">
        <v>4790.8900000000003</v>
      </c>
      <c r="E858" s="14">
        <v>16825.334846000002</v>
      </c>
      <c r="F858" s="14">
        <v>14458.347331999999</v>
      </c>
      <c r="G858" s="14">
        <v>4790.8900000000003</v>
      </c>
      <c r="H858" s="14">
        <v>4790.8900000000003</v>
      </c>
      <c r="I858" s="14">
        <v>426.59025100000002</v>
      </c>
      <c r="J858" s="19">
        <v>0</v>
      </c>
    </row>
    <row r="859" spans="1:10" x14ac:dyDescent="0.25">
      <c r="A859" s="1" t="s">
        <v>398</v>
      </c>
      <c r="B859" s="4">
        <v>661.37</v>
      </c>
      <c r="C859" s="10">
        <v>8.9179389560000004</v>
      </c>
      <c r="D859" s="10">
        <v>6.17</v>
      </c>
      <c r="E859" s="11">
        <v>21.489317664999998</v>
      </c>
      <c r="F859" s="11">
        <v>18.635363876</v>
      </c>
      <c r="G859" s="10">
        <v>6.17</v>
      </c>
      <c r="H859" s="11">
        <v>6.17</v>
      </c>
      <c r="I859" s="11">
        <v>0.54938900000000002</v>
      </c>
      <c r="J859" s="19">
        <v>0</v>
      </c>
    </row>
    <row r="860" spans="1:10" x14ac:dyDescent="0.25">
      <c r="A860" s="1" t="s">
        <v>399</v>
      </c>
      <c r="B860" s="4">
        <v>859.25</v>
      </c>
      <c r="C860" s="12">
        <v>11.692309</v>
      </c>
      <c r="D860" s="12">
        <v>8.8058239999999994</v>
      </c>
      <c r="E860" s="14">
        <v>28.36375</v>
      </c>
      <c r="F860" s="14">
        <v>25.448452</v>
      </c>
      <c r="G860" s="12">
        <v>8.8058239999999994</v>
      </c>
      <c r="H860" s="14">
        <v>8.8058239999999994</v>
      </c>
      <c r="I860" s="14">
        <v>0.78408800000000001</v>
      </c>
      <c r="J860" s="19">
        <v>0</v>
      </c>
    </row>
    <row r="861" spans="1:10" x14ac:dyDescent="0.25">
      <c r="A861" s="1" t="s">
        <v>400</v>
      </c>
      <c r="B861" s="4">
        <v>1</v>
      </c>
      <c r="C861" s="14">
        <v>13.330401</v>
      </c>
      <c r="D861" s="14">
        <v>9.698734</v>
      </c>
      <c r="E861" s="14">
        <v>32.311984000000002</v>
      </c>
      <c r="F861" s="14">
        <v>28.451369</v>
      </c>
      <c r="G861" s="14">
        <v>9.698734</v>
      </c>
      <c r="H861" s="14">
        <v>9.698734</v>
      </c>
      <c r="I861" s="14">
        <v>0.86359399999999997</v>
      </c>
      <c r="J861" s="19">
        <v>0</v>
      </c>
    </row>
    <row r="862" spans="1:10" x14ac:dyDescent="0.25">
      <c r="A862" s="1" t="s">
        <v>401</v>
      </c>
      <c r="B862" s="4">
        <v>1</v>
      </c>
      <c r="C862" s="14">
        <v>14.191544</v>
      </c>
      <c r="D862" s="14">
        <v>10.289386</v>
      </c>
      <c r="E862" s="14">
        <v>34.092374</v>
      </c>
      <c r="F862" s="14">
        <v>29.654861</v>
      </c>
      <c r="G862" s="14">
        <v>10.289386</v>
      </c>
      <c r="H862" s="14">
        <v>10.289386</v>
      </c>
      <c r="I862" s="14">
        <v>0.91618699999999997</v>
      </c>
      <c r="J862" s="19">
        <v>0</v>
      </c>
    </row>
    <row r="863" spans="1:10" x14ac:dyDescent="0.25">
      <c r="A863" s="1" t="s">
        <v>402</v>
      </c>
      <c r="B863" s="4">
        <v>1</v>
      </c>
      <c r="C863" s="14">
        <v>15.613536</v>
      </c>
      <c r="D863" s="14">
        <v>11.041539999999999</v>
      </c>
      <c r="E863" s="14">
        <v>36.178826999999998</v>
      </c>
      <c r="F863" s="14">
        <v>31.188016999999999</v>
      </c>
      <c r="G863" s="14">
        <v>11.041539999999999</v>
      </c>
      <c r="H863" s="14">
        <v>11.041539999999999</v>
      </c>
      <c r="I863" s="14">
        <v>0.98316000000000003</v>
      </c>
      <c r="J863" s="19">
        <v>0</v>
      </c>
    </row>
    <row r="864" spans="1:10" x14ac:dyDescent="0.25">
      <c r="A864" s="1" t="s">
        <v>403</v>
      </c>
      <c r="B864" s="4">
        <v>1.1000000000000001</v>
      </c>
      <c r="C864" s="14">
        <v>18.203821000000001</v>
      </c>
      <c r="D864" s="14">
        <v>12.139068999999999</v>
      </c>
      <c r="E864" s="14">
        <v>43.038331999999997</v>
      </c>
      <c r="F864" s="14">
        <v>35.167606999999997</v>
      </c>
      <c r="G864" s="14">
        <v>12.139068999999999</v>
      </c>
      <c r="H864" s="14">
        <v>12.139068999999999</v>
      </c>
      <c r="I864" s="14">
        <v>1.0808869999999999</v>
      </c>
      <c r="J864" s="19">
        <v>0</v>
      </c>
    </row>
    <row r="865" spans="1:10" x14ac:dyDescent="0.25">
      <c r="A865" s="1" t="s">
        <v>404</v>
      </c>
      <c r="B865" s="4">
        <v>1.3480000000000001</v>
      </c>
      <c r="C865" s="14">
        <v>22.807566999999999</v>
      </c>
      <c r="D865" s="14">
        <v>14.528036999999999</v>
      </c>
      <c r="E865" s="14">
        <v>55.889577000000003</v>
      </c>
      <c r="F865" s="14">
        <v>44.578457999999998</v>
      </c>
      <c r="G865" s="14">
        <v>15.153199000000001</v>
      </c>
      <c r="H865" s="14">
        <v>15.153199000000001</v>
      </c>
      <c r="I865" s="14">
        <v>1.3492710000000001</v>
      </c>
      <c r="J865" s="19">
        <v>0</v>
      </c>
    </row>
    <row r="866" spans="1:10" x14ac:dyDescent="0.25">
      <c r="A866" s="1" t="s">
        <v>405</v>
      </c>
      <c r="B866" s="4">
        <v>1.8819999999999999</v>
      </c>
      <c r="C866" s="14">
        <v>29.207370000000001</v>
      </c>
      <c r="D866" s="14">
        <v>19.743601999999999</v>
      </c>
      <c r="E866" s="14">
        <v>79.044628000000003</v>
      </c>
      <c r="F866" s="14">
        <v>61.464776999999998</v>
      </c>
      <c r="G866" s="14">
        <v>19.511258999999999</v>
      </c>
      <c r="H866" s="14">
        <v>19.511258999999999</v>
      </c>
      <c r="I866" s="14">
        <v>1.7373209999999999</v>
      </c>
      <c r="J866" s="19">
        <v>0</v>
      </c>
    </row>
    <row r="867" spans="1:10" x14ac:dyDescent="0.25">
      <c r="A867" s="1" t="s">
        <v>406</v>
      </c>
      <c r="B867" s="4">
        <v>2.4359999999999999</v>
      </c>
      <c r="C867" s="14">
        <v>38.247050999999999</v>
      </c>
      <c r="D867" s="14">
        <v>27.032938999999999</v>
      </c>
      <c r="E867" s="14">
        <v>113.07334</v>
      </c>
      <c r="F867" s="14">
        <v>83.887127000000007</v>
      </c>
      <c r="G867" s="14">
        <v>25.235862000000001</v>
      </c>
      <c r="H867" s="14">
        <v>25.235862000000001</v>
      </c>
      <c r="I867" s="14">
        <v>2.2470509999999999</v>
      </c>
      <c r="J867" s="19">
        <v>0</v>
      </c>
    </row>
    <row r="868" spans="1:10" x14ac:dyDescent="0.25">
      <c r="A868" s="8" t="s">
        <v>407</v>
      </c>
      <c r="B868" s="4">
        <v>3.2189999999999999</v>
      </c>
      <c r="C868" s="14">
        <v>51.950969000000001</v>
      </c>
      <c r="D868" s="14">
        <v>37.824488000000002</v>
      </c>
      <c r="E868" s="14">
        <v>157.80515299999999</v>
      </c>
      <c r="F868" s="14">
        <v>116.535996</v>
      </c>
      <c r="G868" s="14">
        <v>34.308154000000002</v>
      </c>
      <c r="H868" s="14">
        <v>34.308154000000002</v>
      </c>
      <c r="I868" s="14">
        <v>3.0548649999999999</v>
      </c>
      <c r="J868" s="19">
        <v>0</v>
      </c>
    </row>
    <row r="869" spans="1:10" x14ac:dyDescent="0.25">
      <c r="A869" s="1" t="s">
        <v>408</v>
      </c>
      <c r="B869" s="4">
        <v>4.3380000000000001</v>
      </c>
      <c r="C869" s="14">
        <v>71.323485000000005</v>
      </c>
      <c r="D869" s="14">
        <v>53.196359000000001</v>
      </c>
      <c r="E869" s="14">
        <v>219.69633400000001</v>
      </c>
      <c r="F869" s="14">
        <v>162.80078599999999</v>
      </c>
      <c r="G869" s="14">
        <v>47.214880999999998</v>
      </c>
      <c r="H869" s="14">
        <v>47.214880999999998</v>
      </c>
      <c r="I869" s="14">
        <v>4.2041060000000003</v>
      </c>
      <c r="J869" s="19">
        <v>0</v>
      </c>
    </row>
    <row r="870" spans="1:10" x14ac:dyDescent="0.25">
      <c r="A870" s="1" t="s">
        <v>409</v>
      </c>
      <c r="B870" s="4">
        <v>6.048</v>
      </c>
      <c r="C870" s="14">
        <v>101.964054</v>
      </c>
      <c r="D870" s="14">
        <v>74.730244999999996</v>
      </c>
      <c r="E870" s="14">
        <v>310.628646</v>
      </c>
      <c r="F870" s="14">
        <v>234.872693</v>
      </c>
      <c r="G870" s="14">
        <v>66.771283999999994</v>
      </c>
      <c r="H870" s="14">
        <v>66.771283999999994</v>
      </c>
      <c r="I870" s="14">
        <v>5.9454459999999996</v>
      </c>
      <c r="J870" s="19">
        <v>0</v>
      </c>
    </row>
    <row r="871" spans="1:10" x14ac:dyDescent="0.25">
      <c r="A871" s="1" t="s">
        <v>410</v>
      </c>
      <c r="B871" s="4">
        <v>9.1769999999999996</v>
      </c>
      <c r="C871" s="14">
        <v>154.80182600000001</v>
      </c>
      <c r="D871" s="14">
        <v>109.950609</v>
      </c>
      <c r="E871" s="14">
        <v>456.12710299999998</v>
      </c>
      <c r="F871" s="14">
        <v>350.87631599999997</v>
      </c>
      <c r="G871" s="14">
        <v>102.527306</v>
      </c>
      <c r="H871" s="14">
        <v>102.527306</v>
      </c>
      <c r="I871" s="14">
        <v>9.1292329999999993</v>
      </c>
      <c r="J871" s="19">
        <v>0</v>
      </c>
    </row>
    <row r="872" spans="1:10" x14ac:dyDescent="0.25">
      <c r="A872" s="1" t="s">
        <v>411</v>
      </c>
      <c r="B872" s="4">
        <v>13.734999999999999</v>
      </c>
      <c r="C872" s="14">
        <v>270.17562600000002</v>
      </c>
      <c r="D872" s="14">
        <v>177.526253</v>
      </c>
      <c r="E872" s="14">
        <v>751.15011300000003</v>
      </c>
      <c r="F872" s="14">
        <v>603.156387</v>
      </c>
      <c r="G872" s="14">
        <v>160.05537699999999</v>
      </c>
      <c r="H872" s="14">
        <v>160.05537699999999</v>
      </c>
      <c r="I872" s="14">
        <v>14.251645</v>
      </c>
      <c r="J872" s="19">
        <v>0</v>
      </c>
    </row>
    <row r="873" spans="1:10" x14ac:dyDescent="0.25">
      <c r="A873" s="1" t="s">
        <v>412</v>
      </c>
      <c r="B873" s="4">
        <v>24.344999999999999</v>
      </c>
      <c r="C873" s="14">
        <v>459.73084499999999</v>
      </c>
      <c r="D873" s="14">
        <v>321.83734399999997</v>
      </c>
      <c r="E873" s="14">
        <v>1278.833067</v>
      </c>
      <c r="F873" s="14">
        <v>1035.498885</v>
      </c>
      <c r="G873" s="14">
        <v>276.54367999999999</v>
      </c>
      <c r="H873" s="14">
        <v>276.54367999999999</v>
      </c>
      <c r="I873" s="14">
        <v>24.623992000000001</v>
      </c>
      <c r="J873" s="19">
        <v>0</v>
      </c>
    </row>
    <row r="874" spans="1:10" x14ac:dyDescent="0.25">
      <c r="A874" s="1" t="s">
        <v>413</v>
      </c>
      <c r="B874" s="4">
        <v>38.387999999999998</v>
      </c>
      <c r="C874" s="14">
        <v>823.42391599999996</v>
      </c>
      <c r="D874" s="14">
        <v>592.01979400000005</v>
      </c>
      <c r="E874" s="14">
        <v>2281.5660739999998</v>
      </c>
      <c r="F874" s="14">
        <v>1877.5665779999999</v>
      </c>
      <c r="G874" s="14">
        <v>509.72530999999998</v>
      </c>
      <c r="H874" s="14">
        <v>509.72530999999998</v>
      </c>
      <c r="I874" s="14">
        <v>45.386941999999998</v>
      </c>
      <c r="J874" s="19">
        <v>0</v>
      </c>
    </row>
    <row r="875" spans="1:10" x14ac:dyDescent="0.25">
      <c r="A875" s="1" t="s">
        <v>414</v>
      </c>
      <c r="B875" s="4">
        <v>46.853000000000002</v>
      </c>
      <c r="C875" s="14">
        <v>989.67320400000006</v>
      </c>
      <c r="D875" s="14">
        <v>759.85740499999997</v>
      </c>
      <c r="E875" s="14">
        <v>2319.6682270000001</v>
      </c>
      <c r="F875" s="14">
        <v>2090.2948710000001</v>
      </c>
      <c r="G875" s="14">
        <v>738.08224800000005</v>
      </c>
      <c r="H875" s="14">
        <v>738.08224800000005</v>
      </c>
      <c r="I875" s="14">
        <v>65.720292000000001</v>
      </c>
      <c r="J875" s="19">
        <v>0</v>
      </c>
    </row>
    <row r="876" spans="1:10" x14ac:dyDescent="0.25">
      <c r="A876" s="1" t="s">
        <v>415</v>
      </c>
      <c r="B876" s="4">
        <v>51.238999999999997</v>
      </c>
      <c r="C876" s="14">
        <v>1074.092328</v>
      </c>
      <c r="D876" s="14">
        <v>804.91694900000005</v>
      </c>
      <c r="E876" s="14">
        <v>2342.6329420000002</v>
      </c>
      <c r="F876" s="14">
        <v>2280.0936449999999</v>
      </c>
      <c r="G876" s="14">
        <v>796.16931999999997</v>
      </c>
      <c r="H876" s="14">
        <v>796.16931999999997</v>
      </c>
      <c r="I876" s="14">
        <v>70.892478999999994</v>
      </c>
      <c r="J876" s="19">
        <v>0</v>
      </c>
    </row>
    <row r="877" spans="1:10" x14ac:dyDescent="0.25">
      <c r="A877" s="1" t="s">
        <v>416</v>
      </c>
      <c r="B877" s="4">
        <v>55.962000000000003</v>
      </c>
      <c r="C877" s="14">
        <v>1199.7611300000001</v>
      </c>
      <c r="D877" s="14">
        <v>884.92569300000002</v>
      </c>
      <c r="E877" s="14">
        <v>2516.456306</v>
      </c>
      <c r="F877" s="14">
        <v>2485.7580910000001</v>
      </c>
      <c r="G877" s="14">
        <v>872.20348999999999</v>
      </c>
      <c r="H877" s="14">
        <v>872.20348999999999</v>
      </c>
      <c r="I877" s="14">
        <v>77.662711000000002</v>
      </c>
      <c r="J877" s="19">
        <v>0</v>
      </c>
    </row>
    <row r="878" spans="1:10" x14ac:dyDescent="0.25">
      <c r="A878" s="1" t="s">
        <v>417</v>
      </c>
      <c r="B878" s="4">
        <v>66.531000000000006</v>
      </c>
      <c r="C878" s="14">
        <v>1335.454113</v>
      </c>
      <c r="D878" s="14">
        <v>991.20526800000005</v>
      </c>
      <c r="E878" s="14">
        <v>2935.949572</v>
      </c>
      <c r="F878" s="14">
        <v>2808.4094909999999</v>
      </c>
      <c r="G878" s="14">
        <v>984.89218000000005</v>
      </c>
      <c r="H878" s="14">
        <v>984.89218000000005</v>
      </c>
      <c r="I878" s="14">
        <v>87.696732999999995</v>
      </c>
      <c r="J878" s="19">
        <v>0</v>
      </c>
    </row>
    <row r="879" spans="1:10" x14ac:dyDescent="0.25">
      <c r="A879" s="1" t="s">
        <v>418</v>
      </c>
      <c r="B879" s="4">
        <v>71.981999999999999</v>
      </c>
      <c r="C879" s="14">
        <v>1493.4383339999999</v>
      </c>
      <c r="D879" s="14">
        <v>1126.2074250000001</v>
      </c>
      <c r="E879" s="14">
        <v>3320.8525599999998</v>
      </c>
      <c r="F879" s="14">
        <v>3171.536838</v>
      </c>
      <c r="G879" s="14">
        <v>1103.3747089999999</v>
      </c>
      <c r="H879" s="14">
        <v>1103.3747089999999</v>
      </c>
      <c r="I879" s="14">
        <v>98.246650000000002</v>
      </c>
      <c r="J879" s="19">
        <v>0</v>
      </c>
    </row>
    <row r="880" spans="1:10" x14ac:dyDescent="0.25">
      <c r="A880" s="8" t="s">
        <v>419</v>
      </c>
      <c r="B880" s="4">
        <v>75.492999999999995</v>
      </c>
      <c r="C880" s="14">
        <v>1689.526787</v>
      </c>
      <c r="D880" s="14">
        <v>1270.361975</v>
      </c>
      <c r="E880" s="14">
        <v>3681.8292329999999</v>
      </c>
      <c r="F880" s="14">
        <v>3542.9238009999999</v>
      </c>
      <c r="G880" s="14">
        <v>1244.1653209999999</v>
      </c>
      <c r="H880" s="14">
        <v>1244.1653209999999</v>
      </c>
      <c r="I880" s="14">
        <v>110.782923</v>
      </c>
      <c r="J880" s="19">
        <v>0</v>
      </c>
    </row>
    <row r="881" spans="1:10" x14ac:dyDescent="0.25">
      <c r="A881" s="1" t="s">
        <v>420</v>
      </c>
      <c r="B881" s="4">
        <v>92.477000000000004</v>
      </c>
      <c r="C881" s="14">
        <v>1956.978877</v>
      </c>
      <c r="D881" s="14">
        <v>1435.127923</v>
      </c>
      <c r="E881" s="14">
        <v>4104.5032279999996</v>
      </c>
      <c r="F881" s="14">
        <v>4044.601811</v>
      </c>
      <c r="G881" s="14">
        <v>1420.836796</v>
      </c>
      <c r="H881" s="14">
        <v>1420.836796</v>
      </c>
      <c r="I881" s="14">
        <v>126.514098</v>
      </c>
      <c r="J881" s="19">
        <v>0</v>
      </c>
    </row>
    <row r="882" spans="1:10" x14ac:dyDescent="0.25">
      <c r="A882" s="1" t="s">
        <v>421</v>
      </c>
      <c r="B882" s="4">
        <v>118.24</v>
      </c>
      <c r="C882" s="14">
        <v>2320.194156</v>
      </c>
      <c r="D882" s="14">
        <v>1677.09049</v>
      </c>
      <c r="E882" s="14">
        <v>4640.140899</v>
      </c>
      <c r="F882" s="14">
        <v>4750.3848269999999</v>
      </c>
      <c r="G882" s="14">
        <v>1642.203168</v>
      </c>
      <c r="H882" s="14">
        <v>1642.203168</v>
      </c>
      <c r="I882" s="14">
        <v>146.22499400000001</v>
      </c>
      <c r="J882" s="19">
        <v>0</v>
      </c>
    </row>
    <row r="883" spans="1:10" x14ac:dyDescent="0.25">
      <c r="A883" s="1" t="s">
        <v>422</v>
      </c>
      <c r="B883" s="4">
        <v>151.31</v>
      </c>
      <c r="C883" s="14">
        <v>2692.121279</v>
      </c>
      <c r="D883" s="14">
        <v>1978.966778</v>
      </c>
      <c r="E883" s="14">
        <v>5452.6295700000001</v>
      </c>
      <c r="F883" s="14">
        <v>5532.2981689999997</v>
      </c>
      <c r="G883" s="14">
        <v>1942.726347</v>
      </c>
      <c r="H883" s="14">
        <v>1942.726347</v>
      </c>
      <c r="I883" s="14">
        <v>172.98416800000001</v>
      </c>
      <c r="J883" s="19">
        <v>0</v>
      </c>
    </row>
    <row r="884" spans="1:10" x14ac:dyDescent="0.25">
      <c r="A884" s="1" t="s">
        <v>423</v>
      </c>
      <c r="B884" s="4">
        <v>190.47</v>
      </c>
      <c r="C884" s="14">
        <v>3258.0051709999998</v>
      </c>
      <c r="D884" s="14">
        <v>2329.2438969999998</v>
      </c>
      <c r="E884" s="14">
        <v>6381.2123849999998</v>
      </c>
      <c r="F884" s="14">
        <v>6634.8851940000004</v>
      </c>
      <c r="G884" s="14">
        <v>2329.523162</v>
      </c>
      <c r="H884" s="14">
        <v>2329.523162</v>
      </c>
      <c r="I884" s="14">
        <v>207.42531600000001</v>
      </c>
      <c r="J884" s="19">
        <v>0</v>
      </c>
    </row>
    <row r="885" spans="1:10" x14ac:dyDescent="0.25">
      <c r="A885" s="1" t="s">
        <v>424</v>
      </c>
      <c r="B885" s="4">
        <v>221.56</v>
      </c>
      <c r="C885" s="14">
        <v>3927.1994330000002</v>
      </c>
      <c r="D885" s="14">
        <v>2818.8509640000002</v>
      </c>
      <c r="E885" s="14">
        <v>7370.3003040000003</v>
      </c>
      <c r="F885" s="14">
        <v>8035.5094580000004</v>
      </c>
      <c r="G885" s="14">
        <v>2838.989877</v>
      </c>
      <c r="H885" s="14">
        <v>2838.989877</v>
      </c>
      <c r="I885" s="14">
        <v>252.789232</v>
      </c>
      <c r="J885" s="19">
        <v>0</v>
      </c>
    </row>
    <row r="886" spans="1:10" x14ac:dyDescent="0.25">
      <c r="A886" s="1" t="s">
        <v>425</v>
      </c>
      <c r="B886" s="4">
        <v>229.15</v>
      </c>
      <c r="C886" s="12">
        <v>4220.9539500000001</v>
      </c>
      <c r="D886" s="12">
        <v>3077.9033669999999</v>
      </c>
      <c r="E886" s="14">
        <v>7984.2463189999999</v>
      </c>
      <c r="F886" s="14">
        <v>8618.0838930000009</v>
      </c>
      <c r="G886" s="12">
        <v>3173.7067830000001</v>
      </c>
      <c r="H886" s="14">
        <v>3173.7067830000001</v>
      </c>
      <c r="I886" s="14">
        <v>282.59308299999998</v>
      </c>
      <c r="J886" s="19">
        <v>0</v>
      </c>
    </row>
    <row r="887" spans="1:10" x14ac:dyDescent="0.25">
      <c r="A887" s="1" t="s">
        <v>426</v>
      </c>
      <c r="B887" s="4">
        <v>251.37</v>
      </c>
      <c r="C887" s="14">
        <v>4524.4405390000002</v>
      </c>
      <c r="D887" s="14">
        <v>3318.2876190000002</v>
      </c>
      <c r="E887" s="14">
        <v>8524.779794</v>
      </c>
      <c r="F887" s="14">
        <v>9371.3044250000003</v>
      </c>
      <c r="G887" s="14">
        <v>3332.709492</v>
      </c>
      <c r="H887" s="14">
        <v>3332.709492</v>
      </c>
      <c r="I887" s="14">
        <v>296.75099599999999</v>
      </c>
      <c r="J887" s="19">
        <v>0</v>
      </c>
    </row>
    <row r="888" spans="1:10" x14ac:dyDescent="0.25">
      <c r="A888" s="1" t="s">
        <v>427</v>
      </c>
      <c r="B888" s="4">
        <v>272.69</v>
      </c>
      <c r="C888" s="14">
        <v>4785.0483139999997</v>
      </c>
      <c r="D888" s="14">
        <v>3566.4955319999999</v>
      </c>
      <c r="E888" s="14">
        <v>9649.1982480000006</v>
      </c>
      <c r="F888" s="14">
        <v>9983.2506030000004</v>
      </c>
      <c r="G888" s="14">
        <v>3555.3344860000002</v>
      </c>
      <c r="H888" s="14">
        <v>3555.3344860000002</v>
      </c>
      <c r="I888" s="14">
        <v>316.57396199999999</v>
      </c>
      <c r="J888" s="19">
        <v>0</v>
      </c>
    </row>
    <row r="889" spans="1:10" x14ac:dyDescent="0.25">
      <c r="A889" s="1" t="s">
        <v>428</v>
      </c>
      <c r="B889" s="4">
        <v>296.06</v>
      </c>
      <c r="C889" s="14">
        <v>5253.0260390000003</v>
      </c>
      <c r="D889" s="14">
        <v>3868.9343530000001</v>
      </c>
      <c r="E889" s="14">
        <v>10631.486629000001</v>
      </c>
      <c r="F889" s="14">
        <v>10967.599112</v>
      </c>
      <c r="G889" s="14">
        <v>3940.3772100000001</v>
      </c>
      <c r="H889" s="14">
        <v>3940.3772100000001</v>
      </c>
      <c r="I889" s="14">
        <v>350.85892200000001</v>
      </c>
      <c r="J889" s="19">
        <v>0</v>
      </c>
    </row>
    <row r="890" spans="1:10" x14ac:dyDescent="0.25">
      <c r="A890" s="1" t="s">
        <v>429</v>
      </c>
      <c r="B890" s="4">
        <v>326.52999999999997</v>
      </c>
      <c r="C890" s="14">
        <v>5846.6179810000003</v>
      </c>
      <c r="D890" s="14">
        <v>4380.4074739999996</v>
      </c>
      <c r="E890" s="14">
        <v>12078.431959</v>
      </c>
      <c r="F890" s="14">
        <v>12374.742077999999</v>
      </c>
      <c r="G890" s="14">
        <v>4418.7390029999997</v>
      </c>
      <c r="H890" s="14">
        <v>4418.7390029999997</v>
      </c>
      <c r="I890" s="14">
        <v>393.45319599999999</v>
      </c>
      <c r="J890" s="19">
        <v>0</v>
      </c>
    </row>
    <row r="891" spans="1:10" x14ac:dyDescent="0.25">
      <c r="A891" s="1" t="s">
        <v>430</v>
      </c>
      <c r="B891" s="4">
        <v>370.09</v>
      </c>
      <c r="C891" s="14">
        <v>6689.7002929999999</v>
      </c>
      <c r="D891" s="14">
        <v>5048.419613</v>
      </c>
      <c r="E891" s="14">
        <v>13845.506554</v>
      </c>
      <c r="F891" s="14">
        <v>14291.589625000001</v>
      </c>
      <c r="G891" s="14">
        <v>5108.9460349999999</v>
      </c>
      <c r="H891" s="14">
        <v>5108.9460349999999</v>
      </c>
      <c r="I891" s="14">
        <v>454.91058500000003</v>
      </c>
      <c r="J891" s="19">
        <v>0</v>
      </c>
    </row>
    <row r="892" spans="1:10" x14ac:dyDescent="0.25">
      <c r="A892" s="8" t="s">
        <v>431</v>
      </c>
      <c r="B892" s="4">
        <v>425.87</v>
      </c>
      <c r="C892" s="14">
        <v>7774.1007099999997</v>
      </c>
      <c r="D892" s="14">
        <v>5802.1486610000002</v>
      </c>
      <c r="E892" s="14">
        <v>16768.292987000001</v>
      </c>
      <c r="F892" s="14">
        <v>16605.397985</v>
      </c>
      <c r="G892" s="14">
        <v>5906.9634050000004</v>
      </c>
      <c r="H892" s="14">
        <v>5906.9634050000004</v>
      </c>
      <c r="I892" s="14">
        <v>525.96761800000002</v>
      </c>
      <c r="J892" s="19">
        <v>0</v>
      </c>
    </row>
    <row r="893" spans="1:10" x14ac:dyDescent="0.25">
      <c r="A893" s="1" t="s">
        <v>432</v>
      </c>
      <c r="B893" s="4">
        <v>577.23</v>
      </c>
      <c r="C893" s="14">
        <v>9730.8418579999998</v>
      </c>
      <c r="D893" s="14">
        <v>7115.1749019999997</v>
      </c>
      <c r="E893" s="14">
        <v>20626.677202999999</v>
      </c>
      <c r="F893" s="14">
        <v>20897.893364</v>
      </c>
      <c r="G893" s="14">
        <v>7152.1512899999998</v>
      </c>
      <c r="H893" s="14">
        <v>7152.1512899999998</v>
      </c>
      <c r="I893" s="14">
        <v>636.84159199999999</v>
      </c>
      <c r="J893" s="19">
        <v>0</v>
      </c>
    </row>
    <row r="894" spans="1:10" x14ac:dyDescent="0.25">
      <c r="A894" s="1" t="s">
        <v>433</v>
      </c>
      <c r="B894" s="4">
        <v>731.57</v>
      </c>
      <c r="C894" s="14">
        <v>12201.502605</v>
      </c>
      <c r="D894" s="14">
        <v>8938.0827109999991</v>
      </c>
      <c r="E894" s="14">
        <v>26705.358973999999</v>
      </c>
      <c r="F894" s="14">
        <v>26281.190694000001</v>
      </c>
      <c r="G894" s="14">
        <v>9046.0409510000009</v>
      </c>
      <c r="H894" s="14">
        <v>9046.0409510000009</v>
      </c>
      <c r="I894" s="14">
        <v>805.47724500000004</v>
      </c>
      <c r="J894" s="19">
        <v>0</v>
      </c>
    </row>
    <row r="895" spans="1:10" x14ac:dyDescent="0.25">
      <c r="A895" s="1" t="s">
        <v>434</v>
      </c>
      <c r="B895" s="4">
        <v>945.85</v>
      </c>
      <c r="C895" s="14">
        <v>15038.35196</v>
      </c>
      <c r="D895" s="14">
        <v>11050.151655</v>
      </c>
      <c r="E895" s="14">
        <v>31968.985227000001</v>
      </c>
      <c r="F895" s="14">
        <v>32099.846312999998</v>
      </c>
      <c r="G895" s="14">
        <v>11230.65984</v>
      </c>
      <c r="H895" s="14">
        <v>11230.65984</v>
      </c>
      <c r="I895" s="14">
        <v>1000</v>
      </c>
      <c r="J895" s="19">
        <v>0</v>
      </c>
    </row>
    <row r="896" spans="1:10" x14ac:dyDescent="0.25">
      <c r="A896" s="1" t="s">
        <v>435</v>
      </c>
      <c r="B896" s="4">
        <v>1179.05</v>
      </c>
      <c r="C896" s="14">
        <v>18931.781282</v>
      </c>
      <c r="D896" s="14">
        <v>13653.567384</v>
      </c>
      <c r="E896" s="14">
        <v>41518.121114000001</v>
      </c>
      <c r="F896" s="14">
        <v>40715.445062999999</v>
      </c>
      <c r="G896" s="14">
        <v>14141.64687</v>
      </c>
      <c r="H896" s="14">
        <v>14141.64687</v>
      </c>
      <c r="I896" s="14">
        <v>1256</v>
      </c>
      <c r="J896" s="19">
        <v>0</v>
      </c>
    </row>
    <row r="897" spans="1:10" x14ac:dyDescent="0.25">
      <c r="A897" s="1" t="s">
        <v>436</v>
      </c>
      <c r="B897" s="4">
        <v>1467.45</v>
      </c>
      <c r="C897" s="14">
        <v>23015.366504000001</v>
      </c>
      <c r="D897" s="14">
        <v>17457.451257000001</v>
      </c>
      <c r="E897" s="14">
        <v>51328.853132999997</v>
      </c>
      <c r="F897" s="14">
        <v>50808.803893999997</v>
      </c>
      <c r="G897" s="14">
        <v>17603.522023000001</v>
      </c>
      <c r="H897" s="14">
        <v>17603.522023000001</v>
      </c>
      <c r="I897" s="14">
        <v>1583.816</v>
      </c>
      <c r="J897" s="19">
        <v>0</v>
      </c>
    </row>
    <row r="898" spans="1:10" x14ac:dyDescent="0.25">
      <c r="A898" s="1" t="s">
        <v>437</v>
      </c>
      <c r="B898" s="4">
        <v>1768.45</v>
      </c>
      <c r="C898" s="14">
        <v>28018.907180999999</v>
      </c>
      <c r="D898" s="14">
        <v>21191.60008</v>
      </c>
      <c r="E898" s="14">
        <v>65582.875648000001</v>
      </c>
      <c r="F898" s="14">
        <v>61326.226300000002</v>
      </c>
      <c r="G898" s="14">
        <v>21409.403483999999</v>
      </c>
      <c r="H898" s="14">
        <v>21409.403483999999</v>
      </c>
      <c r="I898" s="14">
        <v>1932.7306639999999</v>
      </c>
      <c r="J898" s="19">
        <v>0</v>
      </c>
    </row>
    <row r="899" spans="1:10" x14ac:dyDescent="0.25">
      <c r="A899" s="1" t="s">
        <v>438</v>
      </c>
      <c r="B899" s="4">
        <v>2196</v>
      </c>
      <c r="C899" s="14">
        <v>34387.604783000002</v>
      </c>
      <c r="D899" s="14">
        <v>25417.205135</v>
      </c>
      <c r="E899" s="14">
        <v>77007.412584999998</v>
      </c>
      <c r="F899" s="14">
        <v>72696.108655999997</v>
      </c>
      <c r="G899" s="14">
        <v>25871.123169999999</v>
      </c>
      <c r="H899" s="14">
        <v>25871.123169999999</v>
      </c>
      <c r="I899" s="14">
        <v>2315.9911539999998</v>
      </c>
      <c r="J899" s="19">
        <v>0</v>
      </c>
    </row>
    <row r="900" spans="1:10" x14ac:dyDescent="0.25">
      <c r="A900" s="1" t="s">
        <v>439</v>
      </c>
      <c r="B900" s="4">
        <v>2612.8000000000002</v>
      </c>
      <c r="C900" s="14">
        <v>42135.132140000002</v>
      </c>
      <c r="D900" s="14">
        <v>30609.940144</v>
      </c>
      <c r="E900" s="14">
        <v>98738.904416000005</v>
      </c>
      <c r="F900" s="14">
        <v>89016.385049000004</v>
      </c>
      <c r="G900" s="14">
        <v>32209.548346</v>
      </c>
      <c r="H900" s="14">
        <v>32209.548346</v>
      </c>
      <c r="I900" s="14">
        <v>2859.0910789999998</v>
      </c>
      <c r="J900" s="19">
        <v>0</v>
      </c>
    </row>
    <row r="901" spans="1:10" x14ac:dyDescent="0.25">
      <c r="A901" s="1" t="s">
        <v>440</v>
      </c>
      <c r="B901" s="4">
        <v>3144.1</v>
      </c>
      <c r="C901" s="14">
        <v>51594.469304999999</v>
      </c>
      <c r="D901" s="14">
        <v>37836.947010999997</v>
      </c>
      <c r="E901" s="14">
        <v>116541.528882</v>
      </c>
      <c r="F901" s="14">
        <v>108083.694726</v>
      </c>
      <c r="G901" s="14">
        <v>38925.239176000003</v>
      </c>
      <c r="H901" s="14">
        <v>38925.239176000003</v>
      </c>
      <c r="I901" s="14">
        <v>3524.4015730000001</v>
      </c>
      <c r="J901" s="19">
        <v>0</v>
      </c>
    </row>
    <row r="902" spans="1:10" x14ac:dyDescent="0.25">
      <c r="A902" s="1" t="s">
        <v>441</v>
      </c>
      <c r="B902" s="4">
        <v>3789.8</v>
      </c>
      <c r="C902" s="14">
        <v>62480.902327999996</v>
      </c>
      <c r="D902" s="14">
        <v>46100.536238000001</v>
      </c>
      <c r="E902" s="14">
        <v>143963.750627</v>
      </c>
      <c r="F902" s="14">
        <v>131527.04811199999</v>
      </c>
      <c r="G902" s="14">
        <v>47519.931986000003</v>
      </c>
      <c r="H902" s="14">
        <v>47519.931986000003</v>
      </c>
      <c r="I902" s="14">
        <v>4264.8783430000003</v>
      </c>
      <c r="J902" s="19">
        <v>0</v>
      </c>
    </row>
    <row r="903" spans="1:10" x14ac:dyDescent="0.25">
      <c r="A903" s="1" t="s">
        <v>442</v>
      </c>
      <c r="B903" s="4">
        <v>4620.45</v>
      </c>
      <c r="C903" s="14">
        <v>76951.479307000001</v>
      </c>
      <c r="D903" s="14">
        <v>57455.098313000002</v>
      </c>
      <c r="E903" s="14">
        <v>168840.686735</v>
      </c>
      <c r="F903" s="14">
        <v>165119.05619900001</v>
      </c>
      <c r="G903" s="14">
        <v>58154.892763999997</v>
      </c>
      <c r="H903" s="14">
        <v>58154.892763999997</v>
      </c>
      <c r="I903" s="14">
        <v>5251.7711909999998</v>
      </c>
      <c r="J903" s="19">
        <v>0</v>
      </c>
    </row>
    <row r="904" spans="1:10" x14ac:dyDescent="0.25">
      <c r="A904" s="8" t="s">
        <v>443</v>
      </c>
      <c r="B904" s="4">
        <v>5697.4</v>
      </c>
      <c r="C904" s="14">
        <v>95735.335405000005</v>
      </c>
      <c r="D904" s="14">
        <v>71974.001655999993</v>
      </c>
      <c r="E904" s="14">
        <v>226753.042285</v>
      </c>
      <c r="F904" s="14">
        <v>210312.14188000001</v>
      </c>
      <c r="G904" s="14">
        <v>72100.436048000003</v>
      </c>
      <c r="H904" s="14">
        <v>72100.436048000003</v>
      </c>
      <c r="I904" s="14">
        <v>6477.0094090000002</v>
      </c>
      <c r="J904" s="19">
        <v>0</v>
      </c>
    </row>
    <row r="905" spans="1:10" x14ac:dyDescent="0.25">
      <c r="A905" s="1" t="s">
        <v>444</v>
      </c>
      <c r="B905" s="4">
        <v>7118.1</v>
      </c>
      <c r="C905" s="14">
        <v>121066.905153</v>
      </c>
      <c r="D905" s="14">
        <v>91234.244498999993</v>
      </c>
      <c r="E905" s="14">
        <v>269632.04258100002</v>
      </c>
      <c r="F905" s="14">
        <v>262763.99006400001</v>
      </c>
      <c r="G905" s="14">
        <v>90897.019725000006</v>
      </c>
      <c r="H905" s="14">
        <v>90897.019725000006</v>
      </c>
      <c r="I905" s="14">
        <v>8127.3514059999998</v>
      </c>
      <c r="J905" s="19">
        <v>0</v>
      </c>
    </row>
    <row r="906" spans="1:10" x14ac:dyDescent="0.25">
      <c r="A906" s="1" t="s">
        <v>445</v>
      </c>
      <c r="B906" s="4">
        <v>8872.2999999999993</v>
      </c>
      <c r="C906" s="14">
        <v>147568.45069</v>
      </c>
      <c r="D906" s="14">
        <v>112610.427985</v>
      </c>
      <c r="E906" s="14">
        <v>348256.74619699997</v>
      </c>
      <c r="F906" s="14">
        <v>326405.428457</v>
      </c>
      <c r="G906" s="14">
        <v>111703.34754</v>
      </c>
      <c r="H906" s="14">
        <v>111703.34754</v>
      </c>
      <c r="I906" s="14">
        <v>10053.533689</v>
      </c>
      <c r="J906" s="19">
        <v>0</v>
      </c>
    </row>
    <row r="907" spans="1:10" x14ac:dyDescent="0.25">
      <c r="A907" s="1" t="s">
        <v>446</v>
      </c>
      <c r="B907" s="4">
        <v>11066.95</v>
      </c>
      <c r="C907" s="14">
        <v>184888.51186900001</v>
      </c>
      <c r="D907" s="14">
        <v>140853.12332300001</v>
      </c>
      <c r="E907" s="14">
        <v>413868.31718000001</v>
      </c>
      <c r="F907" s="14">
        <v>403763.51500100002</v>
      </c>
      <c r="G907" s="14">
        <v>140277.06383999999</v>
      </c>
      <c r="H907" s="14">
        <v>140277.06383999999</v>
      </c>
      <c r="I907" s="14">
        <v>12415.108752</v>
      </c>
      <c r="J907" s="19">
        <v>0</v>
      </c>
    </row>
    <row r="908" spans="1:10" x14ac:dyDescent="0.25">
      <c r="A908" s="1" t="s">
        <v>447</v>
      </c>
      <c r="B908" s="4">
        <v>14080.5</v>
      </c>
      <c r="C908" s="14">
        <v>235584.941823</v>
      </c>
      <c r="D908" s="14">
        <v>177235.48507699999</v>
      </c>
      <c r="E908" s="14">
        <v>566585.72621899995</v>
      </c>
      <c r="F908" s="14">
        <v>519764.77286000003</v>
      </c>
      <c r="G908" s="14">
        <v>180634.77510599999</v>
      </c>
      <c r="H908" s="14">
        <v>180634.77510599999</v>
      </c>
      <c r="I908" s="14">
        <v>16073.841301</v>
      </c>
      <c r="J908" s="19">
        <v>0</v>
      </c>
    </row>
    <row r="909" spans="1:10" x14ac:dyDescent="0.25">
      <c r="A909" s="1" t="s">
        <v>448</v>
      </c>
      <c r="B909" s="4">
        <v>18156.75</v>
      </c>
      <c r="C909" s="14">
        <v>294716.76221999998</v>
      </c>
      <c r="D909" s="14">
        <v>227588.08638699999</v>
      </c>
      <c r="E909" s="14">
        <v>694634.10034400003</v>
      </c>
      <c r="F909" s="14">
        <v>657554.41414500005</v>
      </c>
      <c r="G909" s="14">
        <v>225414.13585399999</v>
      </c>
      <c r="H909" s="14">
        <v>225414.13585399999</v>
      </c>
      <c r="I909" s="14">
        <v>20368.771696</v>
      </c>
      <c r="J909" s="19">
        <v>0</v>
      </c>
    </row>
    <row r="910" spans="1:10" x14ac:dyDescent="0.25">
      <c r="A910" s="1" t="s">
        <v>449</v>
      </c>
      <c r="B910" s="4">
        <v>22183</v>
      </c>
      <c r="C910" s="14">
        <v>368867.49959399999</v>
      </c>
      <c r="D910" s="14">
        <v>287329.95906299999</v>
      </c>
      <c r="E910" s="14">
        <v>921154.28046599997</v>
      </c>
      <c r="F910" s="14">
        <v>840420.29671799997</v>
      </c>
      <c r="G910" s="14">
        <v>287583.35452200001</v>
      </c>
      <c r="H910" s="14">
        <v>287583.35452200001</v>
      </c>
      <c r="I910" s="14">
        <v>25656.504828000001</v>
      </c>
      <c r="J910" s="19">
        <v>0</v>
      </c>
    </row>
    <row r="911" spans="1:10" x14ac:dyDescent="0.25">
      <c r="A911" s="1" t="s">
        <v>450</v>
      </c>
      <c r="B911" s="4">
        <v>28270</v>
      </c>
      <c r="C911" s="14">
        <v>474880.01897700003</v>
      </c>
      <c r="D911" s="14">
        <v>370167.18625999999</v>
      </c>
      <c r="E911" s="14">
        <v>1117175.9113489999</v>
      </c>
      <c r="F911" s="14">
        <v>1077586.904451</v>
      </c>
      <c r="G911" s="14">
        <v>369170.75219899998</v>
      </c>
      <c r="H911" s="14">
        <v>369170.75219899998</v>
      </c>
      <c r="I911" s="14">
        <v>32670.993246999999</v>
      </c>
      <c r="J911" s="19">
        <v>0</v>
      </c>
    </row>
    <row r="912" spans="1:10" x14ac:dyDescent="0.25">
      <c r="A912" s="1" t="s">
        <v>451</v>
      </c>
      <c r="B912" s="4">
        <v>36445.4</v>
      </c>
      <c r="C912" s="14">
        <v>613260.05650599999</v>
      </c>
      <c r="D912" s="14">
        <v>480106.84057900001</v>
      </c>
      <c r="E912" s="14">
        <v>1570749.3313559999</v>
      </c>
      <c r="F912" s="14">
        <v>1425324.1985170001</v>
      </c>
      <c r="G912" s="14">
        <v>468034.67963700002</v>
      </c>
      <c r="H912" s="14">
        <v>468034.67963700002</v>
      </c>
      <c r="I912" s="14">
        <v>42083.506400999999</v>
      </c>
      <c r="J912" s="19">
        <v>0</v>
      </c>
    </row>
    <row r="913" spans="1:10" x14ac:dyDescent="0.25">
      <c r="A913" s="1" t="s">
        <v>452</v>
      </c>
      <c r="B913" s="4">
        <v>47413</v>
      </c>
      <c r="C913" s="14">
        <v>800488.35175699997</v>
      </c>
      <c r="D913" s="14">
        <v>631340.49536099995</v>
      </c>
      <c r="E913" s="14">
        <v>1996893.6249520001</v>
      </c>
      <c r="F913" s="14">
        <v>1863183.7923010001</v>
      </c>
      <c r="G913" s="14">
        <v>610176.811842</v>
      </c>
      <c r="H913" s="14">
        <v>610176.811842</v>
      </c>
      <c r="I913" s="14">
        <v>54851.642243000002</v>
      </c>
      <c r="J913" s="19">
        <v>0</v>
      </c>
    </row>
    <row r="914" spans="1:10" x14ac:dyDescent="0.25">
      <c r="A914" s="1" t="s">
        <v>453</v>
      </c>
      <c r="B914" s="4">
        <v>62136</v>
      </c>
      <c r="C914" s="12">
        <v>1047.7592036139999</v>
      </c>
      <c r="D914" s="12">
        <v>828.63440016099992</v>
      </c>
      <c r="E914" s="14">
        <v>2670.4458446479998</v>
      </c>
      <c r="F914" s="14">
        <v>2458.65733232</v>
      </c>
      <c r="G914" s="12">
        <v>799.39264100000003</v>
      </c>
      <c r="H914" s="14">
        <v>799.39264100000003</v>
      </c>
      <c r="I914" s="14">
        <v>71.674639999999997</v>
      </c>
      <c r="J914" s="19">
        <v>0</v>
      </c>
    </row>
    <row r="915" spans="1:10" x14ac:dyDescent="0.25">
      <c r="A915" s="1" t="s">
        <v>454</v>
      </c>
      <c r="B915" s="4">
        <v>80851</v>
      </c>
      <c r="C915" s="14">
        <v>1403.6830050000001</v>
      </c>
      <c r="D915" s="14">
        <v>1092.0572749999999</v>
      </c>
      <c r="E915" s="14">
        <v>3429.3865529999998</v>
      </c>
      <c r="F915" s="14">
        <v>3283.0451349999998</v>
      </c>
      <c r="G915" s="14">
        <v>1065.9101470000001</v>
      </c>
      <c r="H915" s="14">
        <v>1065.9101470000001</v>
      </c>
      <c r="I915" s="14">
        <v>94.603357000000003</v>
      </c>
      <c r="J915" s="19">
        <v>0</v>
      </c>
    </row>
    <row r="916" spans="1:10" x14ac:dyDescent="0.25">
      <c r="A916" s="8" t="s">
        <v>455</v>
      </c>
      <c r="B916" s="4">
        <v>108.944</v>
      </c>
      <c r="C916" s="14">
        <v>1882.6196460000001</v>
      </c>
      <c r="D916" s="14">
        <v>1477.3350809999999</v>
      </c>
      <c r="E916" s="14">
        <v>4804.2276220000003</v>
      </c>
      <c r="F916" s="14">
        <v>4497.4435299999996</v>
      </c>
      <c r="G916" s="14">
        <v>1445.6939319999999</v>
      </c>
      <c r="H916" s="14">
        <v>1445.6939319999999</v>
      </c>
      <c r="I916" s="14">
        <v>127.12799099999999</v>
      </c>
      <c r="J916" s="19">
        <v>0</v>
      </c>
    </row>
    <row r="917" spans="1:10" x14ac:dyDescent="0.25">
      <c r="A917" s="1" t="s">
        <v>456</v>
      </c>
      <c r="B917" s="4">
        <v>149.26</v>
      </c>
      <c r="C917" s="14">
        <v>2545.8665470000001</v>
      </c>
      <c r="D917" s="14">
        <v>1994.993293</v>
      </c>
      <c r="E917" s="14">
        <v>6439.1062810000003</v>
      </c>
      <c r="F917" s="14">
        <v>6077.8451859999996</v>
      </c>
      <c r="G917" s="14">
        <v>1938.9647010000001</v>
      </c>
      <c r="H917" s="14">
        <v>1938.9647010000001</v>
      </c>
      <c r="I917" s="14">
        <v>171.83890500000001</v>
      </c>
      <c r="J917" s="19">
        <v>0</v>
      </c>
    </row>
    <row r="918" spans="1:10" x14ac:dyDescent="0.25">
      <c r="A918" s="1" t="s">
        <v>457</v>
      </c>
      <c r="B918" s="4">
        <v>199.745</v>
      </c>
      <c r="C918" s="14">
        <v>3458.3051169999999</v>
      </c>
      <c r="D918" s="14">
        <v>2716.183368</v>
      </c>
      <c r="E918" s="14">
        <v>8911.7230920000002</v>
      </c>
      <c r="F918" s="14">
        <v>8324.2167659999996</v>
      </c>
      <c r="G918" s="14">
        <v>2636.9919930000001</v>
      </c>
      <c r="H918" s="14">
        <v>2636.9919930000001</v>
      </c>
      <c r="I918" s="14">
        <v>230.09229300000001</v>
      </c>
      <c r="J918" s="19">
        <v>0</v>
      </c>
    </row>
    <row r="919" spans="1:10" x14ac:dyDescent="0.25">
      <c r="A919" s="1" t="s">
        <v>458</v>
      </c>
      <c r="B919" s="4">
        <v>270.065</v>
      </c>
      <c r="C919" s="14">
        <v>4790.4442479999998</v>
      </c>
      <c r="D919" s="14">
        <v>3757.0248339999998</v>
      </c>
      <c r="E919" s="14">
        <v>11851.70054</v>
      </c>
      <c r="F919" s="14">
        <v>11339.248078000001</v>
      </c>
      <c r="G919" s="14">
        <v>3631.929071</v>
      </c>
      <c r="H919" s="14">
        <v>3631.929071</v>
      </c>
      <c r="I919" s="14">
        <v>314.51315499999998</v>
      </c>
      <c r="J919" s="19">
        <v>0</v>
      </c>
    </row>
    <row r="920" spans="1:10" x14ac:dyDescent="0.25">
      <c r="A920" s="1" t="s">
        <v>459</v>
      </c>
      <c r="B920" s="4">
        <v>381.53</v>
      </c>
      <c r="C920" s="14">
        <v>6720.9932790000003</v>
      </c>
      <c r="D920" s="14">
        <v>5224.8944359999996</v>
      </c>
      <c r="E920" s="14">
        <v>17295.186598</v>
      </c>
      <c r="F920" s="14">
        <v>16123.276841999999</v>
      </c>
      <c r="G920" s="14">
        <v>5132.6421630000004</v>
      </c>
      <c r="H920" s="14">
        <v>5132.6421630000004</v>
      </c>
      <c r="I920" s="14">
        <v>437.70795700000002</v>
      </c>
      <c r="J920" s="19">
        <v>0</v>
      </c>
    </row>
    <row r="921" spans="1:10" x14ac:dyDescent="0.25">
      <c r="A921" s="1" t="s">
        <v>460</v>
      </c>
      <c r="B921" s="4">
        <v>532.66</v>
      </c>
      <c r="C921" s="14">
        <v>9287.7406119999996</v>
      </c>
      <c r="D921" s="14">
        <v>7355.6063869999998</v>
      </c>
      <c r="E921" s="14">
        <v>24064.522632</v>
      </c>
      <c r="F921" s="14">
        <v>22961.15855</v>
      </c>
      <c r="G921" s="14">
        <v>7214.9550879999997</v>
      </c>
      <c r="H921" s="14">
        <v>7214.9550879999997</v>
      </c>
      <c r="I921" s="14">
        <v>611.47801500000003</v>
      </c>
      <c r="J921" s="19">
        <v>0</v>
      </c>
    </row>
    <row r="922" spans="1:10" x14ac:dyDescent="0.25">
      <c r="A922" s="1" t="s">
        <v>461</v>
      </c>
      <c r="B922" s="4">
        <v>755.52</v>
      </c>
      <c r="C922" s="14">
        <v>13183.019023999999</v>
      </c>
      <c r="D922" s="14">
        <v>10717.854066</v>
      </c>
      <c r="E922" s="14">
        <v>37470.868190000001</v>
      </c>
      <c r="F922" s="14">
        <v>33254.645926999998</v>
      </c>
      <c r="G922" s="14">
        <v>10323.157739</v>
      </c>
      <c r="H922" s="14">
        <v>10323.157739</v>
      </c>
      <c r="I922" s="14">
        <v>878.26587199999994</v>
      </c>
      <c r="J922" s="19">
        <v>0</v>
      </c>
    </row>
    <row r="923" spans="1:10" x14ac:dyDescent="0.25">
      <c r="A923" s="1" t="s">
        <v>462</v>
      </c>
      <c r="B923" s="4">
        <v>1104.8800000000001</v>
      </c>
      <c r="C923" s="14">
        <v>19276.210416000002</v>
      </c>
      <c r="D923" s="14">
        <v>15102.528163999999</v>
      </c>
      <c r="E923" s="14">
        <v>54557.584084000002</v>
      </c>
      <c r="F923" s="14">
        <v>47374.568587000002</v>
      </c>
      <c r="G923" s="14">
        <v>14747.663145</v>
      </c>
      <c r="H923" s="14">
        <v>14747.663145</v>
      </c>
      <c r="I923" s="14">
        <v>1240.5505439999999</v>
      </c>
      <c r="J923" s="19">
        <v>0</v>
      </c>
    </row>
    <row r="924" spans="1:10" x14ac:dyDescent="0.25">
      <c r="A924" s="1" t="s">
        <v>463</v>
      </c>
      <c r="B924" s="4">
        <v>1508.82</v>
      </c>
      <c r="C924" s="14">
        <v>27969.781312999999</v>
      </c>
      <c r="D924" s="14">
        <v>21533.184656000001</v>
      </c>
      <c r="E924" s="14">
        <v>79435.842426000003</v>
      </c>
      <c r="F924" s="14">
        <v>66774.454423000003</v>
      </c>
      <c r="G924" s="14">
        <v>21049.339606000001</v>
      </c>
      <c r="H924" s="14">
        <v>21049.339606000001</v>
      </c>
      <c r="I924" s="14">
        <v>1788.9979390000001</v>
      </c>
      <c r="J924" s="19">
        <v>0</v>
      </c>
    </row>
    <row r="925" spans="1:10" x14ac:dyDescent="0.25">
      <c r="A925" s="1" t="s">
        <v>464</v>
      </c>
      <c r="B925" s="4">
        <v>2230</v>
      </c>
      <c r="C925" s="12">
        <v>15.332525574181819</v>
      </c>
      <c r="D925" s="12">
        <v>11.370304522909091</v>
      </c>
      <c r="E925" s="12">
        <v>41.809250300727271</v>
      </c>
      <c r="F925" s="12">
        <v>35.591998288363634</v>
      </c>
      <c r="G925" s="12">
        <v>11.346741</v>
      </c>
      <c r="H925" s="14">
        <v>11.346741</v>
      </c>
      <c r="I925" s="14">
        <v>0.94101199999999996</v>
      </c>
      <c r="J925" s="19">
        <v>0</v>
      </c>
    </row>
    <row r="926" spans="1:10" x14ac:dyDescent="0.25">
      <c r="A926" s="1"/>
    </row>
    <row r="927" spans="1:10" x14ac:dyDescent="0.25">
      <c r="A927" s="1"/>
    </row>
    <row r="928" spans="1:10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8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8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8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8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8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8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8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8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8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8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8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8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8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8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8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8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8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8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8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8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8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8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8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8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8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8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8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8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8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8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8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8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8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8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8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8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8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8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8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8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8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8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8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8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8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8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8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8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8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8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8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8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8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8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8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8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8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8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8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</sheetData>
  <mergeCells count="8">
    <mergeCell ref="B1:B2"/>
    <mergeCell ref="I1:I2"/>
    <mergeCell ref="C1:C2"/>
    <mergeCell ref="D1:D2"/>
    <mergeCell ref="E1:E2"/>
    <mergeCell ref="F1:F2"/>
    <mergeCell ref="G1:G2"/>
    <mergeCell ref="H1:H2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999"/>
  <sheetViews>
    <sheetView tabSelected="1" topLeftCell="D1" workbookViewId="0">
      <selection activeCell="L14" sqref="L14"/>
    </sheetView>
  </sheetViews>
  <sheetFormatPr defaultRowHeight="15" x14ac:dyDescent="0.25"/>
  <cols>
    <col min="2" max="2" width="41.28515625" customWidth="1"/>
    <col min="3" max="3" width="14.85546875" customWidth="1"/>
    <col min="4" max="4" width="18.5703125" customWidth="1"/>
    <col min="5" max="5" width="27.5703125" customWidth="1"/>
    <col min="6" max="6" width="15.85546875" customWidth="1"/>
    <col min="7" max="7" width="13.5703125" bestFit="1" customWidth="1"/>
    <col min="8" max="8" width="11.28515625" customWidth="1"/>
    <col min="17" max="17" width="9" bestFit="1" customWidth="1"/>
  </cols>
  <sheetData>
    <row r="1" spans="1:18" ht="15.75" customHeight="1" thickBot="1" x14ac:dyDescent="0.3">
      <c r="A1" s="30" t="s">
        <v>607</v>
      </c>
      <c r="B1" s="34" t="s">
        <v>0</v>
      </c>
      <c r="C1" t="s">
        <v>615</v>
      </c>
      <c r="D1" s="38" t="s">
        <v>158</v>
      </c>
      <c r="E1" s="39">
        <f>COUNTIF(B2:B101,$D$1)</f>
        <v>0</v>
      </c>
      <c r="F1" s="39">
        <f>COUNTIF(D2:D101,$D$1)</f>
        <v>1</v>
      </c>
      <c r="G1" s="40" t="s">
        <v>636</v>
      </c>
      <c r="H1" s="45">
        <v>60</v>
      </c>
      <c r="I1" s="46" t="s">
        <v>612</v>
      </c>
      <c r="J1" s="46" t="s">
        <v>611</v>
      </c>
      <c r="K1" s="46" t="s">
        <v>613</v>
      </c>
      <c r="L1" s="46" t="s">
        <v>610</v>
      </c>
      <c r="M1" s="46" t="s">
        <v>609</v>
      </c>
      <c r="N1" s="46" t="s">
        <v>614</v>
      </c>
      <c r="O1" s="46" t="s">
        <v>465</v>
      </c>
      <c r="P1" s="46" t="s">
        <v>466</v>
      </c>
      <c r="Q1" s="48" t="s">
        <v>638</v>
      </c>
    </row>
    <row r="2" spans="1:18" ht="15" customHeight="1" x14ac:dyDescent="0.25">
      <c r="A2" s="34">
        <v>0</v>
      </c>
      <c r="B2" t="s">
        <v>123</v>
      </c>
      <c r="C2" s="34">
        <v>0</v>
      </c>
      <c r="D2" t="s">
        <v>536</v>
      </c>
      <c r="E2" t="str">
        <f>B2</f>
        <v>John Tyndall</v>
      </c>
      <c r="G2" s="40" t="s">
        <v>637</v>
      </c>
      <c r="H2" s="34">
        <f>ROUNDDOWN((H1-1)/4+1,0)</f>
        <v>15</v>
      </c>
      <c r="I2" s="46"/>
      <c r="J2" s="46"/>
      <c r="K2" s="46"/>
      <c r="L2" s="46"/>
      <c r="M2" s="46"/>
      <c r="N2" s="46"/>
      <c r="O2" s="46"/>
      <c r="P2" s="46"/>
      <c r="Q2" s="48"/>
    </row>
    <row r="3" spans="1:18" x14ac:dyDescent="0.25">
      <c r="A3" s="30">
        <v>1</v>
      </c>
      <c r="B3" t="s">
        <v>31</v>
      </c>
      <c r="C3" s="34">
        <v>1</v>
      </c>
      <c r="D3" t="s">
        <v>554</v>
      </c>
      <c r="E3" s="20" t="str">
        <f t="shared" ref="E3:E66" si="0">B3</f>
        <v>Wolfgang Pauli</v>
      </c>
      <c r="G3" s="34" t="s">
        <v>645</v>
      </c>
      <c r="H3" s="34" t="str">
        <f>VLOOKUP(H2,Dólar!A3:K336,11,FALSE)</f>
        <v>03/XY</v>
      </c>
      <c r="I3" s="46"/>
      <c r="J3" s="46"/>
      <c r="K3" s="46"/>
      <c r="L3" s="46"/>
      <c r="M3" s="46"/>
      <c r="N3" s="46"/>
      <c r="O3" s="46"/>
      <c r="P3" s="46"/>
      <c r="Q3" s="49"/>
    </row>
    <row r="4" spans="1:18" x14ac:dyDescent="0.25">
      <c r="A4" s="30">
        <v>2</v>
      </c>
      <c r="B4" t="s">
        <v>115</v>
      </c>
      <c r="C4" s="34">
        <v>2</v>
      </c>
      <c r="D4" t="s">
        <v>597</v>
      </c>
      <c r="E4" s="20" t="str">
        <f t="shared" si="0"/>
        <v>August W. von Hofmann</v>
      </c>
      <c r="I4" s="51">
        <f>IFERROR(VLOOKUP($H$2,Dólar!$A$3:$K$336,COLUMN(I5)-7,FALSE)/VLOOKUP(1,Dólar!$A$3:$K$336,COLUMN(I5)-7,FALSE),1)</f>
        <v>1.0302702702702702</v>
      </c>
      <c r="J4" s="51">
        <f>IFERROR(VLOOKUP($H$2,Dólar!$A$3:$K$336,COLUMN(J5)-7,FALSE)/VLOOKUP(1,Dólar!$A$3:$K$336,COLUMN(J5)-7,FALSE),1)</f>
        <v>1.3111128606324522</v>
      </c>
      <c r="K4" s="51">
        <f>IFERROR(VLOOKUP($H$2,Dólar!$A$3:$K$336,COLUMN(K5)-7,FALSE)/VLOOKUP(1,Dólar!$A$3:$K$336,COLUMN(K5)-7,FALSE),1)</f>
        <v>1.256254890354068</v>
      </c>
      <c r="L4" s="51">
        <f>IFERROR(VLOOKUP($H$2,Dólar!$A$3:$K$336,COLUMN(L5)-7,FALSE)/VLOOKUP(1,Dólar!$A$3:$K$336,COLUMN(L5)-7,FALSE),1)</f>
        <v>1.355299001032674</v>
      </c>
      <c r="M4" s="51">
        <f>IFERROR(VLOOKUP($H$2,Dólar!$A$3:$K$336,COLUMN(M5)-7,FALSE)/VLOOKUP(1,Dólar!$A$3:$K$336,COLUMN(M5)-7,FALSE),1)</f>
        <v>1.249927941377047</v>
      </c>
      <c r="N4" s="51">
        <f>IFERROR(VLOOKUP($H$2,Dólar!$A$3:$K$336,COLUMN(N5)-7,FALSE)/VLOOKUP(1,Dólar!$A$3:$K$336,COLUMN(N5)-7,FALSE),1)</f>
        <v>1.3355524498484708</v>
      </c>
      <c r="O4" s="51">
        <f>IFERROR(VLOOKUP($H$2,Dólar!$A$3:$K$336,COLUMN(O5)-7,FALSE)/VLOOKUP(1,Dólar!$A$3:$K$336,COLUMN(O5)-7,FALSE),1)</f>
        <v>1.3355524498484708</v>
      </c>
      <c r="P4" s="51">
        <f>IFERROR(VLOOKUP($H$2,Dólar!$A$3:$K$336,COLUMN(P5)-7,FALSE)/VLOOKUP(1,Dólar!$A$3:$K$336,COLUMN(P5)-7,FALSE),1)</f>
        <v>1.345124126548678</v>
      </c>
      <c r="Q4" s="47">
        <f>IFERROR(VLOOKUP($H$2,Dólar!$A$3:$K$336,COLUMN(Q5)-7,FALSE),1)</f>
        <v>3.3199999999999901</v>
      </c>
      <c r="R4" s="47">
        <f>IFERROR(VLOOKUP($H$2,Dólar!$A$3:$K$336,COLUMN(R5)-7,FALSE)/VLOOKUP(1,Dólar!$A$3:$K$336,COLUMN(R5)-7,FALSE),1)</f>
        <v>1</v>
      </c>
    </row>
    <row r="5" spans="1:18" x14ac:dyDescent="0.25">
      <c r="A5" s="30">
        <v>3</v>
      </c>
      <c r="B5" t="s">
        <v>99</v>
      </c>
      <c r="C5" s="34">
        <v>3</v>
      </c>
      <c r="D5" t="s">
        <v>513</v>
      </c>
      <c r="E5" s="20" t="str">
        <f t="shared" si="0"/>
        <v>Thomas Bayes</v>
      </c>
      <c r="G5" s="27" t="s">
        <v>644</v>
      </c>
      <c r="H5" s="27" t="s">
        <v>642</v>
      </c>
      <c r="I5" s="47">
        <v>1</v>
      </c>
      <c r="J5" s="47">
        <v>0.1</v>
      </c>
      <c r="K5" s="47"/>
      <c r="L5" s="47"/>
      <c r="M5" s="47"/>
      <c r="N5" s="47">
        <v>3</v>
      </c>
      <c r="O5" s="47"/>
      <c r="P5" s="47"/>
      <c r="Q5" s="34"/>
      <c r="R5" s="34"/>
    </row>
    <row r="6" spans="1:18" x14ac:dyDescent="0.25">
      <c r="A6" s="30">
        <v>4</v>
      </c>
      <c r="B6" t="s">
        <v>122</v>
      </c>
      <c r="C6" s="34">
        <v>4</v>
      </c>
      <c r="D6" t="s">
        <v>555</v>
      </c>
      <c r="E6" s="20" t="str">
        <f t="shared" si="0"/>
        <v>Aleksandr Ivanovich Oparin</v>
      </c>
      <c r="H6" s="27" t="s">
        <v>643</v>
      </c>
      <c r="I6" s="47">
        <v>1</v>
      </c>
      <c r="J6" s="47"/>
      <c r="K6" s="47">
        <v>4</v>
      </c>
      <c r="L6" s="47"/>
      <c r="M6" s="47">
        <v>0.1</v>
      </c>
      <c r="N6" s="47"/>
      <c r="O6" s="47"/>
      <c r="P6" s="47">
        <v>1</v>
      </c>
      <c r="Q6" s="34"/>
      <c r="R6" s="34"/>
    </row>
    <row r="7" spans="1:18" ht="15.75" customHeight="1" x14ac:dyDescent="0.25">
      <c r="A7" s="30">
        <v>5</v>
      </c>
      <c r="B7" t="s">
        <v>90</v>
      </c>
      <c r="C7" s="34">
        <v>5</v>
      </c>
      <c r="D7" t="s">
        <v>517</v>
      </c>
      <c r="E7" s="20" t="str">
        <f t="shared" si="0"/>
        <v>Augustin-Louis Cauchy</v>
      </c>
    </row>
    <row r="8" spans="1:18" x14ac:dyDescent="0.25">
      <c r="A8" s="30">
        <v>6</v>
      </c>
      <c r="B8" t="s">
        <v>6</v>
      </c>
      <c r="C8" s="34">
        <v>6</v>
      </c>
      <c r="D8" t="s">
        <v>516</v>
      </c>
      <c r="E8" s="20" t="str">
        <f t="shared" si="0"/>
        <v>Simon Stevin</v>
      </c>
    </row>
    <row r="9" spans="1:18" x14ac:dyDescent="0.25">
      <c r="A9" s="30">
        <v>7</v>
      </c>
      <c r="B9" t="s">
        <v>80</v>
      </c>
      <c r="C9" s="34">
        <v>7</v>
      </c>
      <c r="D9" t="s">
        <v>600</v>
      </c>
      <c r="E9" s="20" t="str">
        <f t="shared" si="0"/>
        <v>Aristóteles de Estagira</v>
      </c>
    </row>
    <row r="10" spans="1:18" x14ac:dyDescent="0.25">
      <c r="A10" s="30">
        <v>8</v>
      </c>
      <c r="B10" t="s">
        <v>69</v>
      </c>
      <c r="C10" s="34">
        <v>8</v>
      </c>
      <c r="D10" t="s">
        <v>604</v>
      </c>
      <c r="E10" s="20" t="str">
        <f t="shared" si="0"/>
        <v>Julius von Mayer</v>
      </c>
    </row>
    <row r="11" spans="1:18" x14ac:dyDescent="0.25">
      <c r="A11" s="30">
        <v>9</v>
      </c>
      <c r="B11" t="s">
        <v>77</v>
      </c>
      <c r="C11" s="34">
        <v>9</v>
      </c>
      <c r="D11" t="s">
        <v>559</v>
      </c>
      <c r="E11" s="20" t="str">
        <f t="shared" si="0"/>
        <v>Henri Victor Regnault</v>
      </c>
    </row>
    <row r="12" spans="1:18" x14ac:dyDescent="0.25">
      <c r="A12" s="30">
        <v>10</v>
      </c>
      <c r="B12" t="s">
        <v>43</v>
      </c>
      <c r="C12" s="34">
        <v>10</v>
      </c>
      <c r="D12" t="s">
        <v>148</v>
      </c>
      <c r="E12" s="20" t="str">
        <f t="shared" si="0"/>
        <v>Hans Christian Ørsted</v>
      </c>
    </row>
    <row r="13" spans="1:18" x14ac:dyDescent="0.25">
      <c r="A13" s="30">
        <v>11</v>
      </c>
      <c r="B13" t="s">
        <v>17</v>
      </c>
      <c r="C13" s="34">
        <v>11</v>
      </c>
      <c r="D13" t="s">
        <v>598</v>
      </c>
      <c r="E13" s="20" t="str">
        <f t="shared" si="0"/>
        <v>Jairton Dupont</v>
      </c>
    </row>
    <row r="14" spans="1:18" x14ac:dyDescent="0.25">
      <c r="A14" s="30">
        <v>12</v>
      </c>
      <c r="B14" t="s">
        <v>108</v>
      </c>
      <c r="C14" s="34">
        <v>12</v>
      </c>
      <c r="D14" t="s">
        <v>603</v>
      </c>
      <c r="E14" s="20" t="str">
        <f t="shared" si="0"/>
        <v>Albert A. Michelson</v>
      </c>
    </row>
    <row r="15" spans="1:18" x14ac:dyDescent="0.25">
      <c r="A15" s="30">
        <v>13</v>
      </c>
      <c r="B15" t="s">
        <v>101</v>
      </c>
      <c r="C15" s="34">
        <v>13</v>
      </c>
      <c r="D15" t="s">
        <v>157</v>
      </c>
      <c r="E15" s="20" t="str">
        <f t="shared" si="0"/>
        <v>Karl W. T. Weierstraß</v>
      </c>
    </row>
    <row r="16" spans="1:18" x14ac:dyDescent="0.25">
      <c r="A16" s="30">
        <v>14</v>
      </c>
      <c r="B16" t="s">
        <v>85</v>
      </c>
      <c r="C16" s="34">
        <v>14</v>
      </c>
      <c r="D16" t="s">
        <v>548</v>
      </c>
      <c r="E16" s="20" t="str">
        <f t="shared" si="0"/>
        <v>Pierre-Simon Laplace</v>
      </c>
    </row>
    <row r="17" spans="1:5" x14ac:dyDescent="0.25">
      <c r="A17" s="30">
        <v>15</v>
      </c>
      <c r="B17" t="s">
        <v>105</v>
      </c>
      <c r="C17" s="34">
        <v>15</v>
      </c>
      <c r="D17" t="s">
        <v>140</v>
      </c>
      <c r="E17" s="20" t="str">
        <f t="shared" si="0"/>
        <v>L.R.A.C Avogadro</v>
      </c>
    </row>
    <row r="18" spans="1:5" x14ac:dyDescent="0.25">
      <c r="A18" s="30">
        <v>16</v>
      </c>
      <c r="B18" t="s">
        <v>70</v>
      </c>
      <c r="C18" s="34">
        <v>16</v>
      </c>
      <c r="D18" t="s">
        <v>138</v>
      </c>
      <c r="E18" s="20" t="str">
        <f t="shared" si="0"/>
        <v>Nicolas-Léonard S. Carnot</v>
      </c>
    </row>
    <row r="19" spans="1:5" x14ac:dyDescent="0.25">
      <c r="A19" s="30">
        <v>17</v>
      </c>
      <c r="B19" t="s">
        <v>42</v>
      </c>
      <c r="C19" s="34">
        <v>17</v>
      </c>
      <c r="D19" t="s">
        <v>585</v>
      </c>
      <c r="E19" s="20" t="str">
        <f t="shared" si="0"/>
        <v>Michael Faraday</v>
      </c>
    </row>
    <row r="20" spans="1:5" x14ac:dyDescent="0.25">
      <c r="A20" s="30">
        <v>18</v>
      </c>
      <c r="B20" t="s">
        <v>39</v>
      </c>
      <c r="C20" s="34">
        <v>18</v>
      </c>
      <c r="D20" t="s">
        <v>570</v>
      </c>
      <c r="E20" s="20" t="str">
        <f t="shared" si="0"/>
        <v>James C. Maxwell</v>
      </c>
    </row>
    <row r="21" spans="1:5" x14ac:dyDescent="0.25">
      <c r="A21" s="30">
        <v>19</v>
      </c>
      <c r="B21" t="s">
        <v>20</v>
      </c>
      <c r="C21" s="34">
        <v>19</v>
      </c>
      <c r="D21" t="s">
        <v>134</v>
      </c>
      <c r="E21" s="20" t="str">
        <f t="shared" si="0"/>
        <v>Thiago Sequinel</v>
      </c>
    </row>
    <row r="22" spans="1:5" x14ac:dyDescent="0.25">
      <c r="A22" s="30">
        <v>20</v>
      </c>
      <c r="B22" t="s">
        <v>15</v>
      </c>
      <c r="C22" s="34">
        <v>20</v>
      </c>
      <c r="D22" t="s">
        <v>525</v>
      </c>
      <c r="E22" s="20" t="str">
        <f t="shared" si="0"/>
        <v>Werner K. Heisenberg</v>
      </c>
    </row>
    <row r="23" spans="1:5" x14ac:dyDescent="0.25">
      <c r="A23" s="30">
        <v>21</v>
      </c>
      <c r="B23" t="s">
        <v>8</v>
      </c>
      <c r="C23" s="34">
        <v>21</v>
      </c>
      <c r="D23" t="s">
        <v>152</v>
      </c>
      <c r="E23" s="20" t="str">
        <f t="shared" si="0"/>
        <v>Isaac Newton</v>
      </c>
    </row>
    <row r="24" spans="1:5" x14ac:dyDescent="0.25">
      <c r="A24" s="30">
        <v>22</v>
      </c>
      <c r="B24" t="s">
        <v>103</v>
      </c>
      <c r="C24" s="34">
        <v>22</v>
      </c>
      <c r="D24" t="s">
        <v>534</v>
      </c>
      <c r="E24" s="20" t="str">
        <f t="shared" si="0"/>
        <v>Louis Joseph Gay-Lussac</v>
      </c>
    </row>
    <row r="25" spans="1:5" x14ac:dyDescent="0.25">
      <c r="A25" s="30">
        <v>23</v>
      </c>
      <c r="B25" t="s">
        <v>27</v>
      </c>
      <c r="C25" s="34">
        <v>23</v>
      </c>
      <c r="D25" t="s">
        <v>531</v>
      </c>
      <c r="E25" s="20" t="str">
        <f t="shared" si="0"/>
        <v>Max Planck</v>
      </c>
    </row>
    <row r="26" spans="1:5" x14ac:dyDescent="0.25">
      <c r="A26" s="30">
        <v>24</v>
      </c>
      <c r="B26" t="s">
        <v>53</v>
      </c>
      <c r="C26" s="34">
        <v>24</v>
      </c>
      <c r="D26" t="s">
        <v>518</v>
      </c>
      <c r="E26" s="20" t="str">
        <f t="shared" si="0"/>
        <v>Heinrich Hertz</v>
      </c>
    </row>
    <row r="27" spans="1:5" x14ac:dyDescent="0.25">
      <c r="A27" s="30">
        <v>25</v>
      </c>
      <c r="B27" t="s">
        <v>113</v>
      </c>
      <c r="C27" s="34">
        <v>25</v>
      </c>
      <c r="D27" t="s">
        <v>557</v>
      </c>
      <c r="E27" s="20" t="str">
        <f t="shared" si="0"/>
        <v>AW Hermann Kolbe</v>
      </c>
    </row>
    <row r="28" spans="1:5" x14ac:dyDescent="0.25">
      <c r="A28" s="30">
        <v>26</v>
      </c>
      <c r="B28" t="s">
        <v>95</v>
      </c>
      <c r="C28" s="34">
        <v>26</v>
      </c>
      <c r="D28" t="s">
        <v>530</v>
      </c>
      <c r="E28" s="20" t="str">
        <f t="shared" si="0"/>
        <v>Euclides de Alexandria</v>
      </c>
    </row>
    <row r="29" spans="1:5" x14ac:dyDescent="0.25">
      <c r="A29" s="30">
        <v>27</v>
      </c>
      <c r="B29" t="s">
        <v>83</v>
      </c>
      <c r="C29" s="34">
        <v>27</v>
      </c>
      <c r="D29" t="s">
        <v>515</v>
      </c>
      <c r="E29" s="20" t="str">
        <f t="shared" si="0"/>
        <v>Immanuel Kant</v>
      </c>
    </row>
    <row r="30" spans="1:5" x14ac:dyDescent="0.25">
      <c r="A30" s="30">
        <v>28</v>
      </c>
      <c r="B30" t="s">
        <v>112</v>
      </c>
      <c r="C30" s="34">
        <v>28</v>
      </c>
      <c r="D30" t="s">
        <v>521</v>
      </c>
      <c r="E30" s="20" t="str">
        <f t="shared" si="0"/>
        <v>Henry Edward Armstrong</v>
      </c>
    </row>
    <row r="31" spans="1:5" x14ac:dyDescent="0.25">
      <c r="A31" s="30">
        <v>29</v>
      </c>
      <c r="B31" t="s">
        <v>93</v>
      </c>
      <c r="C31" s="34">
        <v>29</v>
      </c>
      <c r="D31" t="s">
        <v>583</v>
      </c>
      <c r="E31" s="20" t="str">
        <f t="shared" si="0"/>
        <v>Gottfried W. Leibniz</v>
      </c>
    </row>
    <row r="32" spans="1:5" x14ac:dyDescent="0.25">
      <c r="A32" s="30">
        <v>30</v>
      </c>
      <c r="B32" t="s">
        <v>58</v>
      </c>
      <c r="C32" s="34">
        <v>30</v>
      </c>
      <c r="D32" t="s">
        <v>145</v>
      </c>
      <c r="E32" s="20" t="str">
        <f t="shared" si="0"/>
        <v>Day Underwood</v>
      </c>
    </row>
    <row r="33" spans="1:5" x14ac:dyDescent="0.25">
      <c r="A33" s="30">
        <v>31</v>
      </c>
      <c r="B33" t="s">
        <v>124</v>
      </c>
      <c r="C33" s="34">
        <v>31</v>
      </c>
      <c r="D33" t="s">
        <v>593</v>
      </c>
      <c r="E33" s="20" t="str">
        <f t="shared" si="0"/>
        <v>Linus C. Pauling</v>
      </c>
    </row>
    <row r="34" spans="1:5" x14ac:dyDescent="0.25">
      <c r="A34" s="30">
        <v>32</v>
      </c>
      <c r="B34" t="s">
        <v>54</v>
      </c>
      <c r="C34" s="34">
        <v>32</v>
      </c>
      <c r="D34" t="s">
        <v>523</v>
      </c>
      <c r="E34" s="20" t="str">
        <f t="shared" si="0"/>
        <v>Thomas Edison</v>
      </c>
    </row>
    <row r="35" spans="1:5" x14ac:dyDescent="0.25">
      <c r="A35" s="30">
        <v>33</v>
      </c>
      <c r="B35" t="s">
        <v>67</v>
      </c>
      <c r="C35" s="34">
        <v>33</v>
      </c>
      <c r="D35" t="s">
        <v>560</v>
      </c>
      <c r="E35" s="20" t="str">
        <f t="shared" si="0"/>
        <v>William Sturgeon</v>
      </c>
    </row>
    <row r="36" spans="1:5" x14ac:dyDescent="0.25">
      <c r="A36" s="30">
        <v>34</v>
      </c>
      <c r="B36" t="s">
        <v>65</v>
      </c>
      <c r="C36" s="34">
        <v>34</v>
      </c>
      <c r="D36" t="s">
        <v>561</v>
      </c>
      <c r="E36" s="20" t="str">
        <f t="shared" si="0"/>
        <v>Charles Robert Darwin</v>
      </c>
    </row>
    <row r="37" spans="1:5" x14ac:dyDescent="0.25">
      <c r="A37" s="30">
        <v>35</v>
      </c>
      <c r="B37" t="s">
        <v>61</v>
      </c>
      <c r="C37" s="34">
        <v>35</v>
      </c>
      <c r="D37" t="s">
        <v>594</v>
      </c>
      <c r="E37" s="20" t="str">
        <f t="shared" si="0"/>
        <v>Galileu Galilei</v>
      </c>
    </row>
    <row r="38" spans="1:5" x14ac:dyDescent="0.25">
      <c r="A38" s="30">
        <v>36</v>
      </c>
      <c r="B38" t="s">
        <v>107</v>
      </c>
      <c r="C38" s="34">
        <v>36</v>
      </c>
      <c r="D38" t="s">
        <v>144</v>
      </c>
      <c r="E38" s="20" t="str">
        <f t="shared" si="0"/>
        <v>Gustav R. Kirchhoff</v>
      </c>
    </row>
    <row r="39" spans="1:5" x14ac:dyDescent="0.25">
      <c r="A39" s="30">
        <v>37</v>
      </c>
      <c r="B39" t="s">
        <v>5</v>
      </c>
      <c r="C39" s="34">
        <v>37</v>
      </c>
      <c r="D39" t="s">
        <v>154</v>
      </c>
      <c r="E39" s="20" t="str">
        <f t="shared" si="0"/>
        <v>René Descartes</v>
      </c>
    </row>
    <row r="40" spans="1:5" x14ac:dyDescent="0.25">
      <c r="A40" s="30">
        <v>38</v>
      </c>
      <c r="B40" t="s">
        <v>36</v>
      </c>
      <c r="C40" s="34">
        <v>38</v>
      </c>
      <c r="D40" t="s">
        <v>142</v>
      </c>
      <c r="E40" s="20" t="str">
        <f t="shared" si="0"/>
        <v>Arnold Sommerfeld</v>
      </c>
    </row>
    <row r="41" spans="1:5" x14ac:dyDescent="0.25">
      <c r="A41" s="30">
        <v>39</v>
      </c>
      <c r="B41" t="s">
        <v>7</v>
      </c>
      <c r="C41" s="34">
        <v>39</v>
      </c>
      <c r="D41" t="s">
        <v>608</v>
      </c>
      <c r="E41" s="20" t="str">
        <f t="shared" si="0"/>
        <v>Diofanto de Alexandria</v>
      </c>
    </row>
    <row r="42" spans="1:5" x14ac:dyDescent="0.25">
      <c r="A42" s="30">
        <v>40</v>
      </c>
      <c r="B42" t="s">
        <v>119</v>
      </c>
      <c r="C42" s="34">
        <v>40</v>
      </c>
      <c r="D42" t="s">
        <v>572</v>
      </c>
      <c r="E42" s="20" t="str">
        <f t="shared" si="0"/>
        <v>Nikolai M. Kischner</v>
      </c>
    </row>
    <row r="43" spans="1:5" x14ac:dyDescent="0.25">
      <c r="A43" s="30">
        <v>41</v>
      </c>
      <c r="B43" t="s">
        <v>72</v>
      </c>
      <c r="C43" s="34">
        <v>41</v>
      </c>
      <c r="D43" t="s">
        <v>587</v>
      </c>
      <c r="E43" s="20" t="str">
        <f t="shared" si="0"/>
        <v>B'Paul-Émile Clapeyron</v>
      </c>
    </row>
    <row r="44" spans="1:5" x14ac:dyDescent="0.25">
      <c r="A44" s="30">
        <v>42</v>
      </c>
      <c r="B44" t="s">
        <v>82</v>
      </c>
      <c r="C44" s="34">
        <v>42</v>
      </c>
      <c r="D44" t="s">
        <v>135</v>
      </c>
      <c r="E44" s="20" t="str">
        <f t="shared" si="0"/>
        <v>Sócrates de Alópece</v>
      </c>
    </row>
    <row r="45" spans="1:5" x14ac:dyDescent="0.25">
      <c r="A45" s="30">
        <v>43</v>
      </c>
      <c r="B45" t="s">
        <v>24</v>
      </c>
      <c r="C45" s="34">
        <v>43</v>
      </c>
      <c r="D45" t="s">
        <v>589</v>
      </c>
      <c r="E45" s="20" t="str">
        <f t="shared" si="0"/>
        <v>Erwin Schrödinger</v>
      </c>
    </row>
    <row r="46" spans="1:5" x14ac:dyDescent="0.25">
      <c r="A46" s="30">
        <v>44</v>
      </c>
      <c r="B46" t="s">
        <v>60</v>
      </c>
      <c r="C46" s="34">
        <v>44</v>
      </c>
      <c r="D46" t="s">
        <v>526</v>
      </c>
      <c r="E46" s="20" t="str">
        <f t="shared" si="0"/>
        <v>CG Kirkbride</v>
      </c>
    </row>
    <row r="47" spans="1:5" x14ac:dyDescent="0.25">
      <c r="A47" s="30">
        <v>45</v>
      </c>
      <c r="B47" t="s">
        <v>48</v>
      </c>
      <c r="C47" s="34">
        <v>45</v>
      </c>
      <c r="D47" t="s">
        <v>569</v>
      </c>
      <c r="E47" s="20" t="str">
        <f t="shared" si="0"/>
        <v>Šrīnivāsa Rāmānudžans</v>
      </c>
    </row>
    <row r="48" spans="1:5" x14ac:dyDescent="0.25">
      <c r="A48" s="30">
        <v>46</v>
      </c>
      <c r="B48" t="s">
        <v>127</v>
      </c>
      <c r="C48" s="34">
        <v>46</v>
      </c>
      <c r="D48" t="s">
        <v>533</v>
      </c>
      <c r="E48" s="20" t="str">
        <f t="shared" si="0"/>
        <v>Zenão de Cítio</v>
      </c>
    </row>
    <row r="49" spans="1:5" x14ac:dyDescent="0.25">
      <c r="A49" s="30">
        <v>47</v>
      </c>
      <c r="B49" t="s">
        <v>102</v>
      </c>
      <c r="C49" s="34">
        <v>47</v>
      </c>
      <c r="D49" t="s">
        <v>510</v>
      </c>
      <c r="E49" s="20" t="str">
        <f t="shared" si="0"/>
        <v>François-Marie Raoult</v>
      </c>
    </row>
    <row r="50" spans="1:5" x14ac:dyDescent="0.25">
      <c r="A50" s="30">
        <v>48</v>
      </c>
      <c r="B50" t="s">
        <v>34</v>
      </c>
      <c r="C50" s="34">
        <v>48</v>
      </c>
      <c r="D50" t="s">
        <v>539</v>
      </c>
      <c r="E50" s="20" t="str">
        <f t="shared" si="0"/>
        <v>Paul Dirac</v>
      </c>
    </row>
    <row r="51" spans="1:5" x14ac:dyDescent="0.25">
      <c r="A51" s="30">
        <v>49</v>
      </c>
      <c r="B51" t="s">
        <v>3</v>
      </c>
      <c r="C51" s="34">
        <v>49</v>
      </c>
      <c r="D51" t="s">
        <v>537</v>
      </c>
      <c r="E51" s="20" t="str">
        <f t="shared" si="0"/>
        <v>Ernest Rutherford</v>
      </c>
    </row>
    <row r="52" spans="1:5" x14ac:dyDescent="0.25">
      <c r="A52" s="30">
        <v>50</v>
      </c>
      <c r="B52" t="s">
        <v>88</v>
      </c>
      <c r="C52" s="34">
        <v>50</v>
      </c>
      <c r="D52" t="s">
        <v>571</v>
      </c>
      <c r="E52" s="20" t="str">
        <f t="shared" si="0"/>
        <v>JC Friedrich Gauss</v>
      </c>
    </row>
    <row r="53" spans="1:5" x14ac:dyDescent="0.25">
      <c r="A53" s="30">
        <v>51</v>
      </c>
      <c r="B53" t="s">
        <v>96</v>
      </c>
      <c r="C53" s="34">
        <v>51</v>
      </c>
      <c r="D53" t="s">
        <v>150</v>
      </c>
      <c r="E53" s="20" t="str">
        <f t="shared" si="0"/>
        <v>Jakob Bernoulli</v>
      </c>
    </row>
    <row r="54" spans="1:5" x14ac:dyDescent="0.25">
      <c r="A54" s="30">
        <v>52</v>
      </c>
      <c r="B54" t="s">
        <v>100</v>
      </c>
      <c r="C54" s="34">
        <v>52</v>
      </c>
      <c r="D54" t="s">
        <v>552</v>
      </c>
      <c r="E54" s="20" t="str">
        <f t="shared" si="0"/>
        <v>Jules Henri Poincaré</v>
      </c>
    </row>
    <row r="55" spans="1:5" x14ac:dyDescent="0.25">
      <c r="A55" s="30">
        <v>53</v>
      </c>
      <c r="B55" t="s">
        <v>128</v>
      </c>
      <c r="C55" s="34">
        <v>53</v>
      </c>
      <c r="D55" t="s">
        <v>567</v>
      </c>
      <c r="E55" s="20" t="str">
        <f t="shared" si="0"/>
        <v>Leucipo de Abdera</v>
      </c>
    </row>
    <row r="56" spans="1:5" x14ac:dyDescent="0.25">
      <c r="A56" s="30">
        <v>54</v>
      </c>
      <c r="B56" t="s">
        <v>21</v>
      </c>
      <c r="C56" s="34">
        <v>54</v>
      </c>
      <c r="D56" t="s">
        <v>546</v>
      </c>
      <c r="E56" s="20" t="str">
        <f t="shared" si="0"/>
        <v>Fritz Feigl</v>
      </c>
    </row>
    <row r="57" spans="1:5" x14ac:dyDescent="0.25">
      <c r="A57" s="30">
        <v>55</v>
      </c>
      <c r="B57" t="s">
        <v>62</v>
      </c>
      <c r="C57" s="34">
        <v>55</v>
      </c>
      <c r="D57" t="s">
        <v>524</v>
      </c>
      <c r="E57" s="20" t="str">
        <f t="shared" si="0"/>
        <v>Arquimedes de Siracusa</v>
      </c>
    </row>
    <row r="58" spans="1:5" x14ac:dyDescent="0.25">
      <c r="A58" s="30">
        <v>56</v>
      </c>
      <c r="B58" t="s">
        <v>75</v>
      </c>
      <c r="C58" s="34">
        <v>56</v>
      </c>
      <c r="D58" t="s">
        <v>558</v>
      </c>
      <c r="E58" s="20" t="str">
        <f t="shared" si="0"/>
        <v>James Watt</v>
      </c>
    </row>
    <row r="59" spans="1:5" x14ac:dyDescent="0.25">
      <c r="A59" s="30">
        <v>57</v>
      </c>
      <c r="B59" t="s">
        <v>44</v>
      </c>
      <c r="C59" s="34">
        <v>57</v>
      </c>
      <c r="D59" t="s">
        <v>141</v>
      </c>
      <c r="E59" s="20" t="str">
        <f t="shared" si="0"/>
        <v>André-Marie Ampère</v>
      </c>
    </row>
    <row r="60" spans="1:5" x14ac:dyDescent="0.25">
      <c r="A60" s="30">
        <v>58</v>
      </c>
      <c r="B60" t="s">
        <v>106</v>
      </c>
      <c r="C60" s="34">
        <v>58</v>
      </c>
      <c r="D60" t="s">
        <v>550</v>
      </c>
      <c r="E60" s="20" t="str">
        <f t="shared" si="0"/>
        <v>Josiah Willard Gibbs</v>
      </c>
    </row>
    <row r="61" spans="1:5" x14ac:dyDescent="0.25">
      <c r="A61" s="30">
        <v>59</v>
      </c>
      <c r="B61" t="s">
        <v>117</v>
      </c>
      <c r="C61" s="34">
        <v>59</v>
      </c>
      <c r="D61" t="s">
        <v>601</v>
      </c>
      <c r="E61" s="20" t="str">
        <f t="shared" si="0"/>
        <v>Alexander M. Zaitsev</v>
      </c>
    </row>
    <row r="62" spans="1:5" x14ac:dyDescent="0.25">
      <c r="A62" s="30">
        <v>60</v>
      </c>
      <c r="B62" t="s">
        <v>9</v>
      </c>
      <c r="C62" s="34">
        <v>60</v>
      </c>
      <c r="D62" t="s">
        <v>602</v>
      </c>
      <c r="E62" s="20" t="str">
        <f t="shared" si="0"/>
        <v>Brahmagupta de Rajastão</v>
      </c>
    </row>
    <row r="63" spans="1:5" x14ac:dyDescent="0.25">
      <c r="A63" s="30">
        <v>61</v>
      </c>
      <c r="B63" t="s">
        <v>120</v>
      </c>
      <c r="C63" s="34">
        <v>61</v>
      </c>
      <c r="D63" t="s">
        <v>606</v>
      </c>
      <c r="E63" s="20" t="str">
        <f t="shared" si="0"/>
        <v>Knut Emil Lundmark</v>
      </c>
    </row>
    <row r="64" spans="1:5" x14ac:dyDescent="0.25">
      <c r="A64" s="30">
        <v>62</v>
      </c>
      <c r="B64" t="s">
        <v>37</v>
      </c>
      <c r="C64" s="34">
        <v>62</v>
      </c>
      <c r="D64" t="s">
        <v>520</v>
      </c>
      <c r="E64" s="20" t="str">
        <f t="shared" si="0"/>
        <v>Demócrito de Abdera</v>
      </c>
    </row>
    <row r="65" spans="1:5" x14ac:dyDescent="0.25">
      <c r="A65" s="30">
        <v>63</v>
      </c>
      <c r="B65" t="s">
        <v>94</v>
      </c>
      <c r="C65" s="34">
        <v>63</v>
      </c>
      <c r="D65" t="s">
        <v>528</v>
      </c>
      <c r="E65" s="20" t="str">
        <f t="shared" si="0"/>
        <v>Blaise Pascal</v>
      </c>
    </row>
    <row r="66" spans="1:5" x14ac:dyDescent="0.25">
      <c r="A66" s="30">
        <v>64</v>
      </c>
      <c r="B66" t="s">
        <v>78</v>
      </c>
      <c r="C66" s="34">
        <v>64</v>
      </c>
      <c r="D66" t="s">
        <v>576</v>
      </c>
      <c r="E66" s="20" t="str">
        <f t="shared" si="0"/>
        <v>Antoine César Becquerel</v>
      </c>
    </row>
    <row r="67" spans="1:5" x14ac:dyDescent="0.25">
      <c r="A67" s="30">
        <v>65</v>
      </c>
      <c r="B67" t="s">
        <v>23</v>
      </c>
      <c r="C67" s="34">
        <v>65</v>
      </c>
      <c r="D67" t="s">
        <v>519</v>
      </c>
      <c r="E67" s="20" t="str">
        <f t="shared" ref="E67:E101" si="1">B67</f>
        <v>José Moura Gonçalves</v>
      </c>
    </row>
    <row r="68" spans="1:5" x14ac:dyDescent="0.25">
      <c r="A68" s="30">
        <v>66</v>
      </c>
      <c r="B68" t="s">
        <v>114</v>
      </c>
      <c r="C68" s="34">
        <v>66</v>
      </c>
      <c r="D68" t="s">
        <v>553</v>
      </c>
      <c r="E68" s="20" t="str">
        <f t="shared" si="1"/>
        <v>RW Eberhard von Bunsen</v>
      </c>
    </row>
    <row r="69" spans="1:5" x14ac:dyDescent="0.25">
      <c r="A69" s="30">
        <v>67</v>
      </c>
      <c r="B69" t="s">
        <v>110</v>
      </c>
      <c r="C69" s="34">
        <v>67</v>
      </c>
      <c r="D69" t="s">
        <v>139</v>
      </c>
      <c r="E69" s="20" t="str">
        <f t="shared" si="1"/>
        <v>Johannes Nicolaus Brønsted</v>
      </c>
    </row>
    <row r="70" spans="1:5" x14ac:dyDescent="0.25">
      <c r="A70" s="30">
        <v>68</v>
      </c>
      <c r="B70" t="s">
        <v>1</v>
      </c>
      <c r="C70" s="34">
        <v>68</v>
      </c>
      <c r="D70" t="s">
        <v>577</v>
      </c>
      <c r="E70" s="20" t="str">
        <f t="shared" si="1"/>
        <v>Antoine-Laurent Lavoisier</v>
      </c>
    </row>
    <row r="71" spans="1:5" x14ac:dyDescent="0.25">
      <c r="A71" s="30">
        <v>69</v>
      </c>
      <c r="B71" t="s">
        <v>4</v>
      </c>
      <c r="C71" s="34">
        <v>69</v>
      </c>
      <c r="D71" t="s">
        <v>133</v>
      </c>
      <c r="E71" s="20" t="str">
        <f t="shared" si="1"/>
        <v>Akaria Bháskara</v>
      </c>
    </row>
    <row r="72" spans="1:5" x14ac:dyDescent="0.25">
      <c r="A72" s="30">
        <v>70</v>
      </c>
      <c r="B72" t="s">
        <v>50</v>
      </c>
      <c r="C72" s="34">
        <v>70</v>
      </c>
      <c r="D72" t="s">
        <v>155</v>
      </c>
      <c r="E72" s="20" t="str">
        <f t="shared" si="1"/>
        <v>Humphry Davy</v>
      </c>
    </row>
    <row r="73" spans="1:5" x14ac:dyDescent="0.25">
      <c r="A73" s="30">
        <v>71</v>
      </c>
      <c r="B73" t="s">
        <v>57</v>
      </c>
      <c r="C73" s="34">
        <v>71</v>
      </c>
      <c r="D73" t="s">
        <v>527</v>
      </c>
      <c r="E73" s="20" t="str">
        <f t="shared" si="1"/>
        <v>Ostwald Fenske</v>
      </c>
    </row>
    <row r="74" spans="1:5" x14ac:dyDescent="0.25">
      <c r="A74" s="30">
        <v>72</v>
      </c>
      <c r="B74" t="s">
        <v>74</v>
      </c>
      <c r="C74" s="34">
        <v>72</v>
      </c>
      <c r="D74" t="s">
        <v>511</v>
      </c>
      <c r="E74" s="20" t="str">
        <f t="shared" si="1"/>
        <v>François Arago</v>
      </c>
    </row>
    <row r="75" spans="1:5" x14ac:dyDescent="0.25">
      <c r="A75" s="30">
        <v>73</v>
      </c>
      <c r="B75" t="s">
        <v>98</v>
      </c>
      <c r="C75" s="34">
        <v>73</v>
      </c>
      <c r="D75" t="s">
        <v>573</v>
      </c>
      <c r="E75" s="20" t="str">
        <f t="shared" si="1"/>
        <v>Adrien-Marie Legendre</v>
      </c>
    </row>
    <row r="76" spans="1:5" x14ac:dyDescent="0.25">
      <c r="A76" s="30">
        <v>74</v>
      </c>
      <c r="B76" t="s">
        <v>2</v>
      </c>
      <c r="C76" s="34">
        <v>74</v>
      </c>
      <c r="D76" t="s">
        <v>514</v>
      </c>
      <c r="E76" s="20" t="str">
        <f t="shared" si="1"/>
        <v>Svante Arrhenius</v>
      </c>
    </row>
    <row r="77" spans="1:5" x14ac:dyDescent="0.25">
      <c r="A77" s="30">
        <v>75</v>
      </c>
      <c r="B77" t="s">
        <v>19</v>
      </c>
      <c r="C77" s="34">
        <v>75</v>
      </c>
      <c r="D77" t="s">
        <v>522</v>
      </c>
      <c r="E77" s="20" t="str">
        <f t="shared" si="1"/>
        <v>Heinrich Rheinboldt</v>
      </c>
    </row>
    <row r="78" spans="1:5" x14ac:dyDescent="0.25">
      <c r="A78" s="30">
        <v>76</v>
      </c>
      <c r="B78" t="s">
        <v>111</v>
      </c>
      <c r="C78" s="34">
        <v>76</v>
      </c>
      <c r="D78" t="s">
        <v>143</v>
      </c>
      <c r="E78" s="20" t="str">
        <f t="shared" si="1"/>
        <v>Thomas Martin Lowry</v>
      </c>
    </row>
    <row r="79" spans="1:5" x14ac:dyDescent="0.25">
      <c r="A79" s="30">
        <v>77</v>
      </c>
      <c r="B79" t="s">
        <v>126</v>
      </c>
      <c r="C79" s="34">
        <v>77</v>
      </c>
      <c r="D79" t="s">
        <v>153</v>
      </c>
      <c r="E79" s="20" t="str">
        <f t="shared" si="1"/>
        <v>Ludwig E. Boltzmann</v>
      </c>
    </row>
    <row r="80" spans="1:5" x14ac:dyDescent="0.25">
      <c r="A80" s="30">
        <v>78</v>
      </c>
      <c r="B80" t="s">
        <v>41</v>
      </c>
      <c r="C80" s="34">
        <v>78</v>
      </c>
      <c r="D80" t="s">
        <v>564</v>
      </c>
      <c r="E80" s="20" t="str">
        <f t="shared" si="1"/>
        <v>Henry Moseley</v>
      </c>
    </row>
    <row r="81" spans="1:5" x14ac:dyDescent="0.25">
      <c r="A81" s="30">
        <v>79</v>
      </c>
      <c r="B81" t="s">
        <v>76</v>
      </c>
      <c r="C81" s="34">
        <v>79</v>
      </c>
      <c r="D81" t="s">
        <v>592</v>
      </c>
      <c r="E81" s="20" t="str">
        <f t="shared" si="1"/>
        <v>JB Joseph Fourier</v>
      </c>
    </row>
    <row r="82" spans="1:5" x14ac:dyDescent="0.25">
      <c r="A82" s="30">
        <v>80</v>
      </c>
      <c r="B82" t="s">
        <v>116</v>
      </c>
      <c r="C82" s="34">
        <v>80</v>
      </c>
      <c r="D82" t="s">
        <v>574</v>
      </c>
      <c r="E82" s="20" t="str">
        <f t="shared" si="1"/>
        <v>Vladimir V. Markovnikov</v>
      </c>
    </row>
    <row r="83" spans="1:5" x14ac:dyDescent="0.25">
      <c r="A83" s="30">
        <v>81</v>
      </c>
      <c r="B83" t="s">
        <v>29</v>
      </c>
      <c r="C83" s="34">
        <v>81</v>
      </c>
      <c r="D83" t="s">
        <v>568</v>
      </c>
      <c r="E83" s="20" t="str">
        <f t="shared" si="1"/>
        <v>Albert Einstein</v>
      </c>
    </row>
    <row r="84" spans="1:5" x14ac:dyDescent="0.25">
      <c r="A84" s="30">
        <v>82</v>
      </c>
      <c r="B84" t="s">
        <v>26</v>
      </c>
      <c r="C84" s="34">
        <v>82</v>
      </c>
      <c r="D84" t="s">
        <v>595</v>
      </c>
      <c r="E84" s="20" t="str">
        <f t="shared" si="1"/>
        <v>James Chadwick</v>
      </c>
    </row>
    <row r="85" spans="1:5" x14ac:dyDescent="0.25">
      <c r="A85" s="30">
        <v>83</v>
      </c>
      <c r="B85" t="s">
        <v>64</v>
      </c>
      <c r="C85" s="34">
        <v>83</v>
      </c>
      <c r="D85" t="s">
        <v>605</v>
      </c>
      <c r="E85" s="20" t="str">
        <f t="shared" si="1"/>
        <v>James Prescott Joule</v>
      </c>
    </row>
    <row r="86" spans="1:5" x14ac:dyDescent="0.25">
      <c r="A86" s="30">
        <v>84</v>
      </c>
      <c r="B86" t="s">
        <v>13</v>
      </c>
      <c r="C86" s="34">
        <v>84</v>
      </c>
      <c r="D86" t="s">
        <v>582</v>
      </c>
      <c r="E86" s="20" t="str">
        <f t="shared" si="1"/>
        <v>Joseph J. Thompson</v>
      </c>
    </row>
    <row r="87" spans="1:5" x14ac:dyDescent="0.25">
      <c r="A87" s="30">
        <v>85</v>
      </c>
      <c r="B87" t="s">
        <v>73</v>
      </c>
      <c r="C87" s="34">
        <v>85</v>
      </c>
      <c r="D87" t="s">
        <v>532</v>
      </c>
      <c r="E87" s="20" t="str">
        <f t="shared" si="1"/>
        <v>Siméon D. Poisson</v>
      </c>
    </row>
    <row r="88" spans="1:5" x14ac:dyDescent="0.25">
      <c r="A88" s="30">
        <v>86</v>
      </c>
      <c r="B88" t="s">
        <v>56</v>
      </c>
      <c r="C88" s="34">
        <v>86</v>
      </c>
      <c r="D88" t="s">
        <v>538</v>
      </c>
      <c r="E88" s="20" t="str">
        <f t="shared" si="1"/>
        <v>Pierre Curie</v>
      </c>
    </row>
    <row r="89" spans="1:5" x14ac:dyDescent="0.25">
      <c r="A89" s="30">
        <v>87</v>
      </c>
      <c r="B89" t="s">
        <v>86</v>
      </c>
      <c r="C89" s="34">
        <v>87</v>
      </c>
      <c r="D89" t="s">
        <v>512</v>
      </c>
      <c r="E89" s="20" t="str">
        <f t="shared" si="1"/>
        <v>Leonhard Euler</v>
      </c>
    </row>
    <row r="90" spans="1:5" x14ac:dyDescent="0.25">
      <c r="A90" s="30">
        <v>88</v>
      </c>
      <c r="B90" t="s">
        <v>22</v>
      </c>
      <c r="C90" s="34">
        <v>88</v>
      </c>
      <c r="D90" t="s">
        <v>543</v>
      </c>
      <c r="E90" s="20" t="str">
        <f t="shared" si="1"/>
        <v>Hans Stammreich</v>
      </c>
    </row>
    <row r="91" spans="1:5" x14ac:dyDescent="0.25">
      <c r="A91" s="30">
        <v>89</v>
      </c>
      <c r="B91" t="s">
        <v>63</v>
      </c>
      <c r="C91" s="34">
        <v>89</v>
      </c>
      <c r="D91" t="s">
        <v>580</v>
      </c>
      <c r="E91" s="20" t="str">
        <f t="shared" si="1"/>
        <v>Pitágoras de Samos</v>
      </c>
    </row>
    <row r="92" spans="1:5" x14ac:dyDescent="0.25">
      <c r="A92" s="30">
        <v>90</v>
      </c>
      <c r="B92" t="s">
        <v>55</v>
      </c>
      <c r="C92" s="34">
        <v>90</v>
      </c>
      <c r="D92" t="s">
        <v>535</v>
      </c>
      <c r="E92" s="20" t="str">
        <f t="shared" si="1"/>
        <v>Georg-Simon Ohm</v>
      </c>
    </row>
    <row r="93" spans="1:5" x14ac:dyDescent="0.25">
      <c r="A93" s="30">
        <v>91</v>
      </c>
      <c r="B93" t="s">
        <v>47</v>
      </c>
      <c r="C93" s="34">
        <v>91</v>
      </c>
      <c r="D93" t="s">
        <v>551</v>
      </c>
      <c r="E93" s="20" t="str">
        <f t="shared" si="1"/>
        <v>Ariabatta de Patná</v>
      </c>
    </row>
    <row r="94" spans="1:5" x14ac:dyDescent="0.25">
      <c r="A94" s="30">
        <v>92</v>
      </c>
      <c r="B94" t="s">
        <v>30</v>
      </c>
      <c r="C94" s="34">
        <v>92</v>
      </c>
      <c r="D94" t="s">
        <v>529</v>
      </c>
      <c r="E94" s="20" t="str">
        <f t="shared" si="1"/>
        <v>Aage N. Bohr</v>
      </c>
    </row>
    <row r="95" spans="1:5" x14ac:dyDescent="0.25">
      <c r="A95" s="30">
        <v>93</v>
      </c>
      <c r="B95" t="s">
        <v>71</v>
      </c>
      <c r="C95" s="34">
        <v>93</v>
      </c>
      <c r="D95" t="s">
        <v>578</v>
      </c>
      <c r="E95" s="20" t="str">
        <f t="shared" si="1"/>
        <v>Rudolf Clausius</v>
      </c>
    </row>
    <row r="96" spans="1:5" x14ac:dyDescent="0.25">
      <c r="A96" s="30">
        <v>94</v>
      </c>
      <c r="B96" t="s">
        <v>121</v>
      </c>
      <c r="C96" s="34">
        <v>94</v>
      </c>
      <c r="D96" t="s">
        <v>591</v>
      </c>
      <c r="E96" s="20" t="str">
        <f t="shared" si="1"/>
        <v>Louis Pasteur</v>
      </c>
    </row>
    <row r="97" spans="1:5" x14ac:dyDescent="0.25">
      <c r="A97" s="30">
        <v>95</v>
      </c>
      <c r="B97" t="s">
        <v>104</v>
      </c>
      <c r="C97" s="34">
        <v>95</v>
      </c>
      <c r="D97" t="s">
        <v>542</v>
      </c>
      <c r="E97" s="20" t="str">
        <f t="shared" si="1"/>
        <v>Robert Boyle</v>
      </c>
    </row>
    <row r="98" spans="1:5" x14ac:dyDescent="0.25">
      <c r="A98" s="30">
        <v>96</v>
      </c>
      <c r="B98" t="s">
        <v>125</v>
      </c>
      <c r="C98" s="34">
        <v>96</v>
      </c>
      <c r="D98" t="s">
        <v>540</v>
      </c>
      <c r="E98" s="20" t="str">
        <f t="shared" si="1"/>
        <v>Ernst Mach</v>
      </c>
    </row>
    <row r="99" spans="1:5" x14ac:dyDescent="0.25">
      <c r="A99" s="30">
        <v>97</v>
      </c>
      <c r="B99" t="s">
        <v>66</v>
      </c>
      <c r="C99" s="34">
        <v>97</v>
      </c>
      <c r="D99" t="s">
        <v>596</v>
      </c>
      <c r="E99" s="20" t="str">
        <f t="shared" si="1"/>
        <v>Thomas Davenport</v>
      </c>
    </row>
    <row r="100" spans="1:5" x14ac:dyDescent="0.25">
      <c r="A100" s="30">
        <v>98</v>
      </c>
      <c r="B100" t="s">
        <v>91</v>
      </c>
      <c r="C100" s="34">
        <v>98</v>
      </c>
      <c r="D100" t="s">
        <v>545</v>
      </c>
      <c r="E100" s="20" t="str">
        <f t="shared" si="1"/>
        <v>Hipócrates de Cós</v>
      </c>
    </row>
    <row r="101" spans="1:5" x14ac:dyDescent="0.25">
      <c r="A101" s="30">
        <v>99</v>
      </c>
      <c r="B101" t="s">
        <v>81</v>
      </c>
      <c r="C101" s="34">
        <v>99</v>
      </c>
      <c r="D101" t="s">
        <v>158</v>
      </c>
      <c r="E101" s="20" t="str">
        <f t="shared" si="1"/>
        <v>Platão de Atenas</v>
      </c>
    </row>
    <row r="102" spans="1:5" x14ac:dyDescent="0.25">
      <c r="A102" s="20"/>
    </row>
    <row r="103" spans="1:5" x14ac:dyDescent="0.25">
      <c r="A103" s="20"/>
    </row>
    <row r="104" spans="1:5" x14ac:dyDescent="0.25">
      <c r="A104" s="20"/>
    </row>
    <row r="105" spans="1:5" x14ac:dyDescent="0.25">
      <c r="A105" s="20"/>
    </row>
    <row r="106" spans="1:5" x14ac:dyDescent="0.25">
      <c r="A106" s="20"/>
    </row>
    <row r="107" spans="1:5" x14ac:dyDescent="0.25">
      <c r="A107" s="20"/>
    </row>
    <row r="108" spans="1:5" x14ac:dyDescent="0.25">
      <c r="A108" s="20"/>
    </row>
    <row r="109" spans="1:5" x14ac:dyDescent="0.25">
      <c r="A109" s="20"/>
    </row>
    <row r="110" spans="1:5" x14ac:dyDescent="0.25">
      <c r="A110" s="20"/>
    </row>
    <row r="111" spans="1:5" x14ac:dyDescent="0.25">
      <c r="A111" s="20"/>
    </row>
    <row r="112" spans="1:5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  <row r="256" spans="1:1" x14ac:dyDescent="0.25">
      <c r="A256" s="20"/>
    </row>
    <row r="257" spans="1:1" x14ac:dyDescent="0.25">
      <c r="A257" s="20"/>
    </row>
    <row r="258" spans="1:1" x14ac:dyDescent="0.25">
      <c r="A258" s="20"/>
    </row>
    <row r="259" spans="1:1" x14ac:dyDescent="0.25">
      <c r="A259" s="20"/>
    </row>
    <row r="260" spans="1:1" x14ac:dyDescent="0.25">
      <c r="A260" s="20"/>
    </row>
    <row r="261" spans="1:1" x14ac:dyDescent="0.25">
      <c r="A261" s="20"/>
    </row>
    <row r="262" spans="1:1" x14ac:dyDescent="0.25">
      <c r="A262" s="20"/>
    </row>
    <row r="263" spans="1:1" x14ac:dyDescent="0.25">
      <c r="A263" s="20"/>
    </row>
    <row r="264" spans="1:1" x14ac:dyDescent="0.25">
      <c r="A264" s="20"/>
    </row>
    <row r="265" spans="1:1" x14ac:dyDescent="0.25">
      <c r="A265" s="20"/>
    </row>
    <row r="266" spans="1:1" x14ac:dyDescent="0.25">
      <c r="A266" s="20"/>
    </row>
    <row r="267" spans="1:1" x14ac:dyDescent="0.25">
      <c r="A267" s="20"/>
    </row>
    <row r="268" spans="1:1" x14ac:dyDescent="0.25">
      <c r="A268" s="20"/>
    </row>
    <row r="269" spans="1:1" x14ac:dyDescent="0.25">
      <c r="A269" s="20"/>
    </row>
    <row r="270" spans="1:1" x14ac:dyDescent="0.25">
      <c r="A270" s="20"/>
    </row>
    <row r="271" spans="1:1" x14ac:dyDescent="0.25">
      <c r="A271" s="20"/>
    </row>
    <row r="272" spans="1:1" x14ac:dyDescent="0.25">
      <c r="A272" s="20"/>
    </row>
    <row r="273" spans="1:1" x14ac:dyDescent="0.25">
      <c r="A273" s="20"/>
    </row>
    <row r="274" spans="1:1" x14ac:dyDescent="0.25">
      <c r="A274" s="20"/>
    </row>
    <row r="275" spans="1:1" x14ac:dyDescent="0.25">
      <c r="A275" s="20"/>
    </row>
    <row r="276" spans="1:1" x14ac:dyDescent="0.25">
      <c r="A276" s="20"/>
    </row>
    <row r="277" spans="1:1" x14ac:dyDescent="0.25">
      <c r="A277" s="20"/>
    </row>
    <row r="278" spans="1:1" x14ac:dyDescent="0.25">
      <c r="A278" s="20"/>
    </row>
    <row r="279" spans="1:1" x14ac:dyDescent="0.25">
      <c r="A279" s="20"/>
    </row>
    <row r="280" spans="1:1" x14ac:dyDescent="0.25">
      <c r="A280" s="20"/>
    </row>
    <row r="281" spans="1:1" x14ac:dyDescent="0.25">
      <c r="A281" s="20"/>
    </row>
    <row r="282" spans="1:1" x14ac:dyDescent="0.25">
      <c r="A282" s="20"/>
    </row>
    <row r="283" spans="1:1" x14ac:dyDescent="0.25">
      <c r="A283" s="20"/>
    </row>
    <row r="284" spans="1:1" x14ac:dyDescent="0.25">
      <c r="A284" s="20"/>
    </row>
    <row r="285" spans="1:1" x14ac:dyDescent="0.25">
      <c r="A285" s="20"/>
    </row>
    <row r="286" spans="1:1" x14ac:dyDescent="0.25">
      <c r="A286" s="20"/>
    </row>
    <row r="287" spans="1:1" x14ac:dyDescent="0.25">
      <c r="A287" s="20"/>
    </row>
    <row r="288" spans="1:1" x14ac:dyDescent="0.25">
      <c r="A288" s="20"/>
    </row>
    <row r="289" spans="1:1" x14ac:dyDescent="0.25">
      <c r="A289" s="20"/>
    </row>
    <row r="290" spans="1:1" x14ac:dyDescent="0.25">
      <c r="A290" s="20"/>
    </row>
    <row r="291" spans="1:1" x14ac:dyDescent="0.25">
      <c r="A291" s="20"/>
    </row>
    <row r="292" spans="1:1" x14ac:dyDescent="0.25">
      <c r="A292" s="20"/>
    </row>
    <row r="293" spans="1:1" x14ac:dyDescent="0.25">
      <c r="A293" s="20"/>
    </row>
    <row r="294" spans="1:1" x14ac:dyDescent="0.25">
      <c r="A294" s="20"/>
    </row>
    <row r="295" spans="1:1" x14ac:dyDescent="0.25">
      <c r="A295" s="20"/>
    </row>
    <row r="296" spans="1:1" x14ac:dyDescent="0.25">
      <c r="A296" s="20"/>
    </row>
    <row r="297" spans="1:1" x14ac:dyDescent="0.25">
      <c r="A297" s="20"/>
    </row>
    <row r="298" spans="1:1" x14ac:dyDescent="0.25">
      <c r="A298" s="20"/>
    </row>
    <row r="299" spans="1:1" x14ac:dyDescent="0.25">
      <c r="A299" s="20"/>
    </row>
    <row r="300" spans="1:1" x14ac:dyDescent="0.25">
      <c r="A300" s="20"/>
    </row>
    <row r="301" spans="1:1" x14ac:dyDescent="0.25">
      <c r="A301" s="20"/>
    </row>
    <row r="302" spans="1:1" x14ac:dyDescent="0.25">
      <c r="A302" s="20"/>
    </row>
    <row r="303" spans="1:1" x14ac:dyDescent="0.25">
      <c r="A303" s="20"/>
    </row>
    <row r="304" spans="1:1" x14ac:dyDescent="0.25">
      <c r="A304" s="20"/>
    </row>
    <row r="305" spans="1:1" x14ac:dyDescent="0.25">
      <c r="A305" s="20"/>
    </row>
    <row r="306" spans="1:1" x14ac:dyDescent="0.25">
      <c r="A306" s="20"/>
    </row>
    <row r="307" spans="1:1" x14ac:dyDescent="0.25">
      <c r="A307" s="20"/>
    </row>
    <row r="308" spans="1:1" x14ac:dyDescent="0.25">
      <c r="A308" s="20"/>
    </row>
    <row r="309" spans="1:1" x14ac:dyDescent="0.25">
      <c r="A309" s="20"/>
    </row>
    <row r="310" spans="1:1" x14ac:dyDescent="0.25">
      <c r="A310" s="20"/>
    </row>
    <row r="311" spans="1:1" x14ac:dyDescent="0.25">
      <c r="A311" s="20"/>
    </row>
    <row r="312" spans="1:1" x14ac:dyDescent="0.25">
      <c r="A312" s="20"/>
    </row>
    <row r="313" spans="1:1" x14ac:dyDescent="0.25">
      <c r="A313" s="20"/>
    </row>
    <row r="314" spans="1:1" x14ac:dyDescent="0.25">
      <c r="A314" s="20"/>
    </row>
    <row r="315" spans="1:1" x14ac:dyDescent="0.25">
      <c r="A315" s="20"/>
    </row>
    <row r="316" spans="1:1" x14ac:dyDescent="0.25">
      <c r="A316" s="20"/>
    </row>
    <row r="317" spans="1:1" x14ac:dyDescent="0.25">
      <c r="A317" s="20"/>
    </row>
    <row r="318" spans="1:1" x14ac:dyDescent="0.25">
      <c r="A318" s="20"/>
    </row>
    <row r="319" spans="1:1" x14ac:dyDescent="0.25">
      <c r="A319" s="20"/>
    </row>
    <row r="320" spans="1:1" x14ac:dyDescent="0.25">
      <c r="A320" s="20"/>
    </row>
    <row r="321" spans="1:1" x14ac:dyDescent="0.25">
      <c r="A321" s="20"/>
    </row>
    <row r="322" spans="1:1" x14ac:dyDescent="0.25">
      <c r="A322" s="20"/>
    </row>
    <row r="323" spans="1:1" x14ac:dyDescent="0.25">
      <c r="A323" s="20"/>
    </row>
    <row r="324" spans="1:1" x14ac:dyDescent="0.25">
      <c r="A324" s="20"/>
    </row>
    <row r="325" spans="1:1" x14ac:dyDescent="0.25">
      <c r="A325" s="20"/>
    </row>
    <row r="326" spans="1:1" x14ac:dyDescent="0.25">
      <c r="A326" s="20"/>
    </row>
    <row r="327" spans="1:1" x14ac:dyDescent="0.25">
      <c r="A327" s="20"/>
    </row>
    <row r="328" spans="1:1" x14ac:dyDescent="0.25">
      <c r="A328" s="20"/>
    </row>
    <row r="329" spans="1:1" x14ac:dyDescent="0.25">
      <c r="A329" s="20"/>
    </row>
    <row r="330" spans="1:1" x14ac:dyDescent="0.25">
      <c r="A330" s="20"/>
    </row>
    <row r="331" spans="1:1" x14ac:dyDescent="0.25">
      <c r="A331" s="20"/>
    </row>
    <row r="332" spans="1:1" x14ac:dyDescent="0.25">
      <c r="A332" s="20"/>
    </row>
    <row r="333" spans="1:1" x14ac:dyDescent="0.25">
      <c r="A333" s="20"/>
    </row>
    <row r="334" spans="1:1" x14ac:dyDescent="0.25">
      <c r="A334" s="20"/>
    </row>
    <row r="335" spans="1:1" x14ac:dyDescent="0.25">
      <c r="A335" s="20"/>
    </row>
    <row r="336" spans="1:1" x14ac:dyDescent="0.25">
      <c r="A336" s="20"/>
    </row>
    <row r="337" spans="1:1" x14ac:dyDescent="0.25">
      <c r="A337" s="20"/>
    </row>
    <row r="338" spans="1:1" x14ac:dyDescent="0.25">
      <c r="A338" s="20"/>
    </row>
    <row r="339" spans="1:1" x14ac:dyDescent="0.25">
      <c r="A339" s="20"/>
    </row>
    <row r="340" spans="1:1" x14ac:dyDescent="0.25">
      <c r="A340" s="20"/>
    </row>
    <row r="341" spans="1:1" x14ac:dyDescent="0.25">
      <c r="A341" s="20"/>
    </row>
    <row r="342" spans="1:1" x14ac:dyDescent="0.25">
      <c r="A342" s="20"/>
    </row>
    <row r="343" spans="1:1" x14ac:dyDescent="0.25">
      <c r="A343" s="20"/>
    </row>
    <row r="344" spans="1:1" x14ac:dyDescent="0.25">
      <c r="A344" s="20"/>
    </row>
    <row r="345" spans="1:1" x14ac:dyDescent="0.25">
      <c r="A345" s="20"/>
    </row>
    <row r="346" spans="1:1" x14ac:dyDescent="0.25">
      <c r="A346" s="20"/>
    </row>
    <row r="347" spans="1:1" x14ac:dyDescent="0.25">
      <c r="A347" s="20"/>
    </row>
    <row r="348" spans="1:1" x14ac:dyDescent="0.25">
      <c r="A348" s="20"/>
    </row>
    <row r="349" spans="1:1" x14ac:dyDescent="0.25">
      <c r="A349" s="20"/>
    </row>
    <row r="350" spans="1:1" x14ac:dyDescent="0.25">
      <c r="A350" s="20"/>
    </row>
    <row r="351" spans="1:1" x14ac:dyDescent="0.25">
      <c r="A351" s="20"/>
    </row>
    <row r="352" spans="1:1" x14ac:dyDescent="0.25">
      <c r="A352" s="20"/>
    </row>
    <row r="353" spans="1:1" x14ac:dyDescent="0.25">
      <c r="A353" s="20"/>
    </row>
    <row r="354" spans="1:1" x14ac:dyDescent="0.25">
      <c r="A354" s="20"/>
    </row>
    <row r="355" spans="1:1" x14ac:dyDescent="0.25">
      <c r="A355" s="20"/>
    </row>
    <row r="356" spans="1:1" x14ac:dyDescent="0.25">
      <c r="A356" s="20"/>
    </row>
    <row r="357" spans="1:1" x14ac:dyDescent="0.25">
      <c r="A357" s="20"/>
    </row>
    <row r="358" spans="1:1" x14ac:dyDescent="0.25">
      <c r="A358" s="20"/>
    </row>
    <row r="359" spans="1:1" x14ac:dyDescent="0.25">
      <c r="A359" s="20"/>
    </row>
    <row r="360" spans="1:1" x14ac:dyDescent="0.25">
      <c r="A360" s="20"/>
    </row>
    <row r="361" spans="1:1" x14ac:dyDescent="0.25">
      <c r="A361" s="20"/>
    </row>
    <row r="362" spans="1:1" x14ac:dyDescent="0.25">
      <c r="A362" s="20"/>
    </row>
    <row r="363" spans="1:1" x14ac:dyDescent="0.25">
      <c r="A363" s="20"/>
    </row>
    <row r="364" spans="1:1" x14ac:dyDescent="0.25">
      <c r="A364" s="20"/>
    </row>
    <row r="365" spans="1:1" x14ac:dyDescent="0.25">
      <c r="A365" s="20"/>
    </row>
    <row r="366" spans="1:1" x14ac:dyDescent="0.25">
      <c r="A366" s="20"/>
    </row>
    <row r="367" spans="1:1" x14ac:dyDescent="0.25">
      <c r="A367" s="20"/>
    </row>
    <row r="368" spans="1:1" x14ac:dyDescent="0.25">
      <c r="A368" s="20"/>
    </row>
    <row r="369" spans="1:1" x14ac:dyDescent="0.25">
      <c r="A369" s="20"/>
    </row>
    <row r="370" spans="1:1" x14ac:dyDescent="0.25">
      <c r="A370" s="20"/>
    </row>
    <row r="371" spans="1:1" x14ac:dyDescent="0.25">
      <c r="A371" s="20"/>
    </row>
    <row r="372" spans="1:1" x14ac:dyDescent="0.25">
      <c r="A372" s="20"/>
    </row>
    <row r="373" spans="1:1" x14ac:dyDescent="0.25">
      <c r="A373" s="20"/>
    </row>
    <row r="374" spans="1:1" x14ac:dyDescent="0.25">
      <c r="A374" s="20"/>
    </row>
    <row r="375" spans="1:1" x14ac:dyDescent="0.25">
      <c r="A375" s="20"/>
    </row>
    <row r="376" spans="1:1" x14ac:dyDescent="0.25">
      <c r="A376" s="20"/>
    </row>
    <row r="377" spans="1:1" x14ac:dyDescent="0.25">
      <c r="A377" s="20"/>
    </row>
    <row r="378" spans="1:1" x14ac:dyDescent="0.25">
      <c r="A378" s="20"/>
    </row>
    <row r="379" spans="1:1" x14ac:dyDescent="0.25">
      <c r="A379" s="20"/>
    </row>
    <row r="380" spans="1:1" x14ac:dyDescent="0.25">
      <c r="A380" s="20"/>
    </row>
    <row r="381" spans="1:1" x14ac:dyDescent="0.25">
      <c r="A381" s="20"/>
    </row>
    <row r="382" spans="1:1" x14ac:dyDescent="0.25">
      <c r="A382" s="20"/>
    </row>
    <row r="383" spans="1:1" x14ac:dyDescent="0.25">
      <c r="A383" s="20"/>
    </row>
    <row r="384" spans="1:1" x14ac:dyDescent="0.25">
      <c r="A384" s="20"/>
    </row>
    <row r="385" spans="1:1" x14ac:dyDescent="0.25">
      <c r="A385" s="20"/>
    </row>
    <row r="386" spans="1:1" x14ac:dyDescent="0.25">
      <c r="A386" s="20"/>
    </row>
    <row r="387" spans="1:1" x14ac:dyDescent="0.25">
      <c r="A387" s="20"/>
    </row>
    <row r="388" spans="1:1" x14ac:dyDescent="0.25">
      <c r="A388" s="20"/>
    </row>
    <row r="389" spans="1:1" x14ac:dyDescent="0.25">
      <c r="A389" s="20"/>
    </row>
    <row r="390" spans="1:1" x14ac:dyDescent="0.25">
      <c r="A390" s="20"/>
    </row>
    <row r="391" spans="1:1" x14ac:dyDescent="0.25">
      <c r="A391" s="20"/>
    </row>
    <row r="392" spans="1:1" x14ac:dyDescent="0.25">
      <c r="A392" s="20"/>
    </row>
    <row r="393" spans="1:1" x14ac:dyDescent="0.25">
      <c r="A393" s="20"/>
    </row>
    <row r="394" spans="1:1" x14ac:dyDescent="0.25">
      <c r="A394" s="20"/>
    </row>
    <row r="395" spans="1:1" x14ac:dyDescent="0.25">
      <c r="A395" s="20"/>
    </row>
    <row r="396" spans="1:1" x14ac:dyDescent="0.25">
      <c r="A396" s="20"/>
    </row>
    <row r="397" spans="1:1" x14ac:dyDescent="0.25">
      <c r="A397" s="20"/>
    </row>
    <row r="398" spans="1:1" x14ac:dyDescent="0.25">
      <c r="A398" s="20"/>
    </row>
    <row r="399" spans="1:1" x14ac:dyDescent="0.25">
      <c r="A399" s="20"/>
    </row>
    <row r="400" spans="1:1" x14ac:dyDescent="0.25">
      <c r="A400" s="20"/>
    </row>
    <row r="401" spans="1:1" x14ac:dyDescent="0.25">
      <c r="A401" s="20"/>
    </row>
    <row r="402" spans="1:1" x14ac:dyDescent="0.25">
      <c r="A402" s="20"/>
    </row>
    <row r="403" spans="1:1" x14ac:dyDescent="0.25">
      <c r="A403" s="20"/>
    </row>
    <row r="404" spans="1:1" x14ac:dyDescent="0.25">
      <c r="A404" s="20"/>
    </row>
    <row r="405" spans="1:1" x14ac:dyDescent="0.25">
      <c r="A405" s="20"/>
    </row>
    <row r="406" spans="1:1" x14ac:dyDescent="0.25">
      <c r="A406" s="20"/>
    </row>
    <row r="407" spans="1:1" x14ac:dyDescent="0.25">
      <c r="A407" s="20"/>
    </row>
    <row r="408" spans="1:1" x14ac:dyDescent="0.25">
      <c r="A408" s="20"/>
    </row>
    <row r="409" spans="1:1" x14ac:dyDescent="0.25">
      <c r="A409" s="20"/>
    </row>
    <row r="410" spans="1:1" x14ac:dyDescent="0.25">
      <c r="A410" s="20"/>
    </row>
    <row r="411" spans="1:1" x14ac:dyDescent="0.25">
      <c r="A411" s="20"/>
    </row>
    <row r="412" spans="1:1" x14ac:dyDescent="0.25">
      <c r="A412" s="20"/>
    </row>
    <row r="413" spans="1:1" x14ac:dyDescent="0.25">
      <c r="A413" s="20"/>
    </row>
    <row r="414" spans="1:1" x14ac:dyDescent="0.25">
      <c r="A414" s="20"/>
    </row>
    <row r="415" spans="1:1" x14ac:dyDescent="0.25">
      <c r="A415" s="20"/>
    </row>
    <row r="416" spans="1:1" x14ac:dyDescent="0.25">
      <c r="A416" s="20"/>
    </row>
    <row r="417" spans="1:1" x14ac:dyDescent="0.25">
      <c r="A417" s="20"/>
    </row>
    <row r="418" spans="1:1" x14ac:dyDescent="0.25">
      <c r="A418" s="20"/>
    </row>
    <row r="419" spans="1:1" x14ac:dyDescent="0.25">
      <c r="A419" s="20"/>
    </row>
    <row r="420" spans="1:1" x14ac:dyDescent="0.25">
      <c r="A420" s="20"/>
    </row>
    <row r="421" spans="1:1" x14ac:dyDescent="0.25">
      <c r="A421" s="20"/>
    </row>
    <row r="422" spans="1:1" x14ac:dyDescent="0.25">
      <c r="A422" s="20"/>
    </row>
    <row r="423" spans="1:1" x14ac:dyDescent="0.25">
      <c r="A423" s="20"/>
    </row>
    <row r="424" spans="1:1" x14ac:dyDescent="0.25">
      <c r="A424" s="20"/>
    </row>
    <row r="425" spans="1:1" x14ac:dyDescent="0.25">
      <c r="A425" s="20"/>
    </row>
    <row r="426" spans="1:1" x14ac:dyDescent="0.25">
      <c r="A426" s="20"/>
    </row>
    <row r="427" spans="1:1" x14ac:dyDescent="0.25">
      <c r="A427" s="20"/>
    </row>
    <row r="428" spans="1:1" x14ac:dyDescent="0.25">
      <c r="A428" s="20"/>
    </row>
    <row r="429" spans="1:1" x14ac:dyDescent="0.25">
      <c r="A429" s="20"/>
    </row>
    <row r="430" spans="1:1" x14ac:dyDescent="0.25">
      <c r="A430" s="20"/>
    </row>
    <row r="431" spans="1:1" x14ac:dyDescent="0.25">
      <c r="A431" s="20"/>
    </row>
    <row r="432" spans="1:1" x14ac:dyDescent="0.25">
      <c r="A432" s="20"/>
    </row>
    <row r="433" spans="1:1" x14ac:dyDescent="0.25">
      <c r="A433" s="20"/>
    </row>
    <row r="434" spans="1:1" x14ac:dyDescent="0.25">
      <c r="A434" s="20"/>
    </row>
    <row r="435" spans="1:1" x14ac:dyDescent="0.25">
      <c r="A435" s="20"/>
    </row>
    <row r="436" spans="1:1" x14ac:dyDescent="0.25">
      <c r="A436" s="20"/>
    </row>
    <row r="437" spans="1:1" x14ac:dyDescent="0.25">
      <c r="A437" s="20"/>
    </row>
    <row r="438" spans="1:1" x14ac:dyDescent="0.25">
      <c r="A438" s="20"/>
    </row>
    <row r="439" spans="1:1" x14ac:dyDescent="0.25">
      <c r="A439" s="20"/>
    </row>
    <row r="440" spans="1:1" x14ac:dyDescent="0.25">
      <c r="A440" s="20"/>
    </row>
    <row r="441" spans="1:1" x14ac:dyDescent="0.25">
      <c r="A441" s="20"/>
    </row>
    <row r="442" spans="1:1" x14ac:dyDescent="0.25">
      <c r="A442" s="20"/>
    </row>
    <row r="443" spans="1:1" x14ac:dyDescent="0.25">
      <c r="A443" s="20"/>
    </row>
    <row r="444" spans="1:1" x14ac:dyDescent="0.25">
      <c r="A444" s="20"/>
    </row>
    <row r="445" spans="1:1" x14ac:dyDescent="0.25">
      <c r="A445" s="20"/>
    </row>
    <row r="446" spans="1:1" x14ac:dyDescent="0.25">
      <c r="A446" s="20"/>
    </row>
    <row r="447" spans="1:1" x14ac:dyDescent="0.25">
      <c r="A447" s="20"/>
    </row>
    <row r="448" spans="1:1" x14ac:dyDescent="0.25">
      <c r="A448" s="20"/>
    </row>
    <row r="449" spans="1:1" x14ac:dyDescent="0.25">
      <c r="A449" s="20"/>
    </row>
    <row r="450" spans="1:1" x14ac:dyDescent="0.25">
      <c r="A450" s="20"/>
    </row>
    <row r="451" spans="1:1" x14ac:dyDescent="0.25">
      <c r="A451" s="20"/>
    </row>
    <row r="452" spans="1:1" x14ac:dyDescent="0.25">
      <c r="A452" s="20"/>
    </row>
    <row r="453" spans="1:1" x14ac:dyDescent="0.25">
      <c r="A453" s="20"/>
    </row>
    <row r="454" spans="1:1" x14ac:dyDescent="0.25">
      <c r="A454" s="20"/>
    </row>
    <row r="455" spans="1:1" x14ac:dyDescent="0.25">
      <c r="A455" s="20"/>
    </row>
    <row r="456" spans="1:1" x14ac:dyDescent="0.25">
      <c r="A456" s="20"/>
    </row>
    <row r="457" spans="1:1" x14ac:dyDescent="0.25">
      <c r="A457" s="20"/>
    </row>
    <row r="458" spans="1:1" x14ac:dyDescent="0.25">
      <c r="A458" s="20"/>
    </row>
    <row r="459" spans="1:1" x14ac:dyDescent="0.25">
      <c r="A459" s="20"/>
    </row>
    <row r="460" spans="1:1" x14ac:dyDescent="0.25">
      <c r="A460" s="20"/>
    </row>
    <row r="461" spans="1:1" x14ac:dyDescent="0.25">
      <c r="A461" s="20"/>
    </row>
    <row r="462" spans="1:1" x14ac:dyDescent="0.25">
      <c r="A462" s="20"/>
    </row>
    <row r="463" spans="1:1" x14ac:dyDescent="0.25">
      <c r="A463" s="20"/>
    </row>
    <row r="464" spans="1:1" x14ac:dyDescent="0.25">
      <c r="A464" s="20"/>
    </row>
    <row r="465" spans="1:1" x14ac:dyDescent="0.25">
      <c r="A465" s="20"/>
    </row>
    <row r="466" spans="1:1" x14ac:dyDescent="0.25">
      <c r="A466" s="20"/>
    </row>
    <row r="467" spans="1:1" x14ac:dyDescent="0.25">
      <c r="A467" s="20"/>
    </row>
    <row r="468" spans="1:1" x14ac:dyDescent="0.25">
      <c r="A468" s="20"/>
    </row>
    <row r="469" spans="1:1" x14ac:dyDescent="0.25">
      <c r="A469" s="20"/>
    </row>
    <row r="470" spans="1:1" x14ac:dyDescent="0.25">
      <c r="A470" s="20"/>
    </row>
    <row r="471" spans="1:1" x14ac:dyDescent="0.25">
      <c r="A471" s="20"/>
    </row>
    <row r="472" spans="1:1" x14ac:dyDescent="0.25">
      <c r="A472" s="20"/>
    </row>
    <row r="473" spans="1:1" x14ac:dyDescent="0.25">
      <c r="A473" s="20"/>
    </row>
    <row r="474" spans="1:1" x14ac:dyDescent="0.25">
      <c r="A474" s="20"/>
    </row>
    <row r="475" spans="1:1" x14ac:dyDescent="0.25">
      <c r="A475" s="20"/>
    </row>
    <row r="476" spans="1:1" x14ac:dyDescent="0.25">
      <c r="A476" s="20"/>
    </row>
    <row r="477" spans="1:1" x14ac:dyDescent="0.25">
      <c r="A477" s="20"/>
    </row>
    <row r="478" spans="1:1" x14ac:dyDescent="0.25">
      <c r="A478" s="20"/>
    </row>
    <row r="479" spans="1:1" x14ac:dyDescent="0.25">
      <c r="A479" s="20"/>
    </row>
    <row r="480" spans="1:1" x14ac:dyDescent="0.25">
      <c r="A480" s="20"/>
    </row>
    <row r="481" spans="1:1" x14ac:dyDescent="0.25">
      <c r="A481" s="20"/>
    </row>
    <row r="482" spans="1:1" x14ac:dyDescent="0.25">
      <c r="A482" s="20"/>
    </row>
    <row r="483" spans="1:1" x14ac:dyDescent="0.25">
      <c r="A483" s="20"/>
    </row>
    <row r="484" spans="1:1" x14ac:dyDescent="0.25">
      <c r="A484" s="20"/>
    </row>
    <row r="485" spans="1:1" x14ac:dyDescent="0.25">
      <c r="A485" s="20"/>
    </row>
    <row r="486" spans="1:1" x14ac:dyDescent="0.25">
      <c r="A486" s="20"/>
    </row>
    <row r="487" spans="1:1" x14ac:dyDescent="0.25">
      <c r="A487" s="20"/>
    </row>
    <row r="488" spans="1:1" x14ac:dyDescent="0.25">
      <c r="A488" s="20"/>
    </row>
    <row r="489" spans="1:1" x14ac:dyDescent="0.25">
      <c r="A489" s="20"/>
    </row>
    <row r="490" spans="1:1" x14ac:dyDescent="0.25">
      <c r="A490" s="20"/>
    </row>
    <row r="491" spans="1:1" x14ac:dyDescent="0.25">
      <c r="A491" s="20"/>
    </row>
    <row r="492" spans="1:1" x14ac:dyDescent="0.25">
      <c r="A492" s="20"/>
    </row>
    <row r="493" spans="1:1" x14ac:dyDescent="0.25">
      <c r="A493" s="20"/>
    </row>
    <row r="494" spans="1:1" x14ac:dyDescent="0.25">
      <c r="A494" s="20"/>
    </row>
    <row r="495" spans="1:1" x14ac:dyDescent="0.25">
      <c r="A495" s="20"/>
    </row>
    <row r="496" spans="1:1" x14ac:dyDescent="0.25">
      <c r="A496" s="20"/>
    </row>
    <row r="497" spans="1:1" x14ac:dyDescent="0.25">
      <c r="A497" s="20"/>
    </row>
    <row r="498" spans="1:1" x14ac:dyDescent="0.25">
      <c r="A498" s="20"/>
    </row>
    <row r="499" spans="1:1" x14ac:dyDescent="0.25">
      <c r="A499" s="20"/>
    </row>
    <row r="500" spans="1:1" x14ac:dyDescent="0.25">
      <c r="A500" s="20"/>
    </row>
    <row r="501" spans="1:1" x14ac:dyDescent="0.25">
      <c r="A501" s="20"/>
    </row>
    <row r="502" spans="1:1" x14ac:dyDescent="0.25">
      <c r="A502" s="20"/>
    </row>
    <row r="503" spans="1:1" x14ac:dyDescent="0.25">
      <c r="A503" s="20"/>
    </row>
    <row r="504" spans="1:1" x14ac:dyDescent="0.25">
      <c r="A504" s="20"/>
    </row>
    <row r="505" spans="1:1" x14ac:dyDescent="0.25">
      <c r="A505" s="20"/>
    </row>
    <row r="506" spans="1:1" x14ac:dyDescent="0.25">
      <c r="A506" s="20"/>
    </row>
    <row r="507" spans="1:1" x14ac:dyDescent="0.25">
      <c r="A507" s="20"/>
    </row>
    <row r="508" spans="1:1" x14ac:dyDescent="0.25">
      <c r="A508" s="20"/>
    </row>
    <row r="509" spans="1:1" x14ac:dyDescent="0.25">
      <c r="A509" s="20"/>
    </row>
    <row r="510" spans="1:1" x14ac:dyDescent="0.25">
      <c r="A510" s="20"/>
    </row>
    <row r="511" spans="1:1" x14ac:dyDescent="0.25">
      <c r="A511" s="20"/>
    </row>
    <row r="512" spans="1:1" x14ac:dyDescent="0.25">
      <c r="A512" s="20"/>
    </row>
    <row r="513" spans="1:1" x14ac:dyDescent="0.25">
      <c r="A513" s="20"/>
    </row>
    <row r="514" spans="1:1" x14ac:dyDescent="0.25">
      <c r="A514" s="20"/>
    </row>
    <row r="515" spans="1:1" x14ac:dyDescent="0.25">
      <c r="A515" s="20"/>
    </row>
    <row r="516" spans="1:1" x14ac:dyDescent="0.25">
      <c r="A516" s="20"/>
    </row>
    <row r="517" spans="1:1" x14ac:dyDescent="0.25">
      <c r="A517" s="20"/>
    </row>
    <row r="518" spans="1:1" x14ac:dyDescent="0.25">
      <c r="A518" s="20"/>
    </row>
    <row r="519" spans="1:1" x14ac:dyDescent="0.25">
      <c r="A519" s="20"/>
    </row>
    <row r="520" spans="1:1" x14ac:dyDescent="0.25">
      <c r="A520" s="20"/>
    </row>
    <row r="521" spans="1:1" x14ac:dyDescent="0.25">
      <c r="A521" s="20"/>
    </row>
    <row r="522" spans="1:1" x14ac:dyDescent="0.25">
      <c r="A522" s="20"/>
    </row>
    <row r="523" spans="1:1" x14ac:dyDescent="0.25">
      <c r="A523" s="20"/>
    </row>
    <row r="524" spans="1:1" x14ac:dyDescent="0.25">
      <c r="A524" s="20"/>
    </row>
    <row r="525" spans="1:1" x14ac:dyDescent="0.25">
      <c r="A525" s="20"/>
    </row>
    <row r="526" spans="1:1" x14ac:dyDescent="0.25">
      <c r="A526" s="20"/>
    </row>
    <row r="527" spans="1:1" x14ac:dyDescent="0.25">
      <c r="A527" s="20"/>
    </row>
    <row r="528" spans="1:1" x14ac:dyDescent="0.25">
      <c r="A528" s="20"/>
    </row>
    <row r="529" spans="1:1" x14ac:dyDescent="0.25">
      <c r="A529" s="20"/>
    </row>
    <row r="530" spans="1:1" x14ac:dyDescent="0.25">
      <c r="A530" s="20"/>
    </row>
    <row r="531" spans="1:1" x14ac:dyDescent="0.25">
      <c r="A531" s="20"/>
    </row>
    <row r="532" spans="1:1" x14ac:dyDescent="0.25">
      <c r="A532" s="20"/>
    </row>
    <row r="533" spans="1:1" x14ac:dyDescent="0.25">
      <c r="A533" s="20"/>
    </row>
    <row r="534" spans="1:1" x14ac:dyDescent="0.25">
      <c r="A534" s="20"/>
    </row>
    <row r="535" spans="1:1" x14ac:dyDescent="0.25">
      <c r="A535" s="20"/>
    </row>
    <row r="536" spans="1:1" x14ac:dyDescent="0.25">
      <c r="A536" s="20"/>
    </row>
    <row r="537" spans="1:1" x14ac:dyDescent="0.25">
      <c r="A537" s="20"/>
    </row>
    <row r="538" spans="1:1" x14ac:dyDescent="0.25">
      <c r="A538" s="20"/>
    </row>
    <row r="539" spans="1:1" x14ac:dyDescent="0.25">
      <c r="A539" s="20"/>
    </row>
    <row r="540" spans="1:1" x14ac:dyDescent="0.25">
      <c r="A540" s="20"/>
    </row>
    <row r="541" spans="1:1" x14ac:dyDescent="0.25">
      <c r="A541" s="20"/>
    </row>
    <row r="542" spans="1:1" x14ac:dyDescent="0.25">
      <c r="A542" s="20"/>
    </row>
    <row r="543" spans="1:1" x14ac:dyDescent="0.25">
      <c r="A543" s="20"/>
    </row>
    <row r="544" spans="1:1" x14ac:dyDescent="0.25">
      <c r="A544" s="20"/>
    </row>
    <row r="545" spans="1:1" x14ac:dyDescent="0.25">
      <c r="A545" s="20"/>
    </row>
    <row r="546" spans="1:1" x14ac:dyDescent="0.25">
      <c r="A546" s="20"/>
    </row>
    <row r="547" spans="1:1" x14ac:dyDescent="0.25">
      <c r="A547" s="20"/>
    </row>
    <row r="548" spans="1:1" x14ac:dyDescent="0.25">
      <c r="A548" s="20"/>
    </row>
    <row r="549" spans="1:1" x14ac:dyDescent="0.25">
      <c r="A549" s="20"/>
    </row>
    <row r="550" spans="1:1" x14ac:dyDescent="0.25">
      <c r="A550" s="20"/>
    </row>
    <row r="551" spans="1:1" x14ac:dyDescent="0.25">
      <c r="A551" s="20"/>
    </row>
    <row r="552" spans="1:1" x14ac:dyDescent="0.25">
      <c r="A552" s="20"/>
    </row>
    <row r="553" spans="1:1" x14ac:dyDescent="0.25">
      <c r="A553" s="20"/>
    </row>
    <row r="554" spans="1:1" x14ac:dyDescent="0.25">
      <c r="A554" s="20"/>
    </row>
    <row r="555" spans="1:1" x14ac:dyDescent="0.25">
      <c r="A555" s="20"/>
    </row>
    <row r="556" spans="1:1" x14ac:dyDescent="0.25">
      <c r="A556" s="20"/>
    </row>
    <row r="557" spans="1:1" x14ac:dyDescent="0.25">
      <c r="A557" s="20"/>
    </row>
    <row r="558" spans="1:1" x14ac:dyDescent="0.25">
      <c r="A558" s="20"/>
    </row>
    <row r="559" spans="1:1" x14ac:dyDescent="0.25">
      <c r="A559" s="20"/>
    </row>
    <row r="560" spans="1:1" x14ac:dyDescent="0.25">
      <c r="A560" s="20"/>
    </row>
    <row r="561" spans="1:1" x14ac:dyDescent="0.25">
      <c r="A561" s="20"/>
    </row>
    <row r="562" spans="1:1" x14ac:dyDescent="0.25">
      <c r="A562" s="20"/>
    </row>
    <row r="563" spans="1:1" x14ac:dyDescent="0.25">
      <c r="A563" s="20"/>
    </row>
    <row r="564" spans="1:1" x14ac:dyDescent="0.25">
      <c r="A564" s="20"/>
    </row>
    <row r="565" spans="1:1" x14ac:dyDescent="0.25">
      <c r="A565" s="20"/>
    </row>
    <row r="566" spans="1:1" x14ac:dyDescent="0.25">
      <c r="A566" s="20"/>
    </row>
    <row r="567" spans="1:1" x14ac:dyDescent="0.25">
      <c r="A567" s="20"/>
    </row>
    <row r="568" spans="1:1" x14ac:dyDescent="0.25">
      <c r="A568" s="20"/>
    </row>
    <row r="569" spans="1:1" x14ac:dyDescent="0.25">
      <c r="A569" s="20"/>
    </row>
    <row r="570" spans="1:1" x14ac:dyDescent="0.25">
      <c r="A570" s="20"/>
    </row>
    <row r="571" spans="1:1" x14ac:dyDescent="0.25">
      <c r="A571" s="20"/>
    </row>
    <row r="572" spans="1:1" x14ac:dyDescent="0.25">
      <c r="A572" s="20"/>
    </row>
    <row r="573" spans="1:1" x14ac:dyDescent="0.25">
      <c r="A573" s="20"/>
    </row>
    <row r="574" spans="1:1" x14ac:dyDescent="0.25">
      <c r="A574" s="20"/>
    </row>
    <row r="575" spans="1:1" x14ac:dyDescent="0.25">
      <c r="A575" s="20"/>
    </row>
    <row r="576" spans="1:1" x14ac:dyDescent="0.25">
      <c r="A576" s="20"/>
    </row>
    <row r="577" spans="1:1" x14ac:dyDescent="0.25">
      <c r="A577" s="20"/>
    </row>
    <row r="578" spans="1:1" x14ac:dyDescent="0.25">
      <c r="A578" s="20"/>
    </row>
    <row r="579" spans="1:1" x14ac:dyDescent="0.25">
      <c r="A579" s="20"/>
    </row>
    <row r="580" spans="1:1" x14ac:dyDescent="0.25">
      <c r="A580" s="20"/>
    </row>
    <row r="581" spans="1:1" x14ac:dyDescent="0.25">
      <c r="A581" s="20"/>
    </row>
    <row r="582" spans="1:1" x14ac:dyDescent="0.25">
      <c r="A582" s="20"/>
    </row>
    <row r="583" spans="1:1" x14ac:dyDescent="0.25">
      <c r="A583" s="20"/>
    </row>
    <row r="584" spans="1:1" x14ac:dyDescent="0.25">
      <c r="A584" s="20"/>
    </row>
    <row r="585" spans="1:1" x14ac:dyDescent="0.25">
      <c r="A585" s="20"/>
    </row>
    <row r="586" spans="1:1" x14ac:dyDescent="0.25">
      <c r="A586" s="20"/>
    </row>
    <row r="587" spans="1:1" x14ac:dyDescent="0.25">
      <c r="A587" s="20"/>
    </row>
    <row r="588" spans="1:1" x14ac:dyDescent="0.25">
      <c r="A588" s="20"/>
    </row>
    <row r="589" spans="1:1" x14ac:dyDescent="0.25">
      <c r="A589" s="20"/>
    </row>
    <row r="590" spans="1:1" x14ac:dyDescent="0.25">
      <c r="A590" s="20"/>
    </row>
    <row r="591" spans="1:1" x14ac:dyDescent="0.25">
      <c r="A591" s="20"/>
    </row>
    <row r="592" spans="1:1" x14ac:dyDescent="0.25">
      <c r="A592" s="20"/>
    </row>
    <row r="593" spans="1:1" x14ac:dyDescent="0.25">
      <c r="A593" s="20"/>
    </row>
    <row r="594" spans="1:1" x14ac:dyDescent="0.25">
      <c r="A594" s="20"/>
    </row>
    <row r="595" spans="1:1" x14ac:dyDescent="0.25">
      <c r="A595" s="20"/>
    </row>
    <row r="596" spans="1:1" x14ac:dyDescent="0.25">
      <c r="A596" s="20"/>
    </row>
    <row r="597" spans="1:1" x14ac:dyDescent="0.25">
      <c r="A597" s="20"/>
    </row>
    <row r="598" spans="1:1" x14ac:dyDescent="0.25">
      <c r="A598" s="20"/>
    </row>
    <row r="599" spans="1:1" x14ac:dyDescent="0.25">
      <c r="A599" s="20"/>
    </row>
    <row r="600" spans="1:1" x14ac:dyDescent="0.25">
      <c r="A600" s="20"/>
    </row>
    <row r="601" spans="1:1" x14ac:dyDescent="0.25">
      <c r="A601" s="20"/>
    </row>
    <row r="602" spans="1:1" x14ac:dyDescent="0.25">
      <c r="A602" s="20"/>
    </row>
    <row r="603" spans="1:1" x14ac:dyDescent="0.25">
      <c r="A603" s="20"/>
    </row>
    <row r="604" spans="1:1" x14ac:dyDescent="0.25">
      <c r="A604" s="20"/>
    </row>
    <row r="605" spans="1:1" x14ac:dyDescent="0.25">
      <c r="A605" s="20"/>
    </row>
    <row r="606" spans="1:1" x14ac:dyDescent="0.25">
      <c r="A606" s="20"/>
    </row>
    <row r="607" spans="1:1" x14ac:dyDescent="0.25">
      <c r="A607" s="20"/>
    </row>
    <row r="608" spans="1:1" x14ac:dyDescent="0.25">
      <c r="A608" s="20"/>
    </row>
    <row r="609" spans="1:1" x14ac:dyDescent="0.25">
      <c r="A609" s="20"/>
    </row>
    <row r="610" spans="1:1" x14ac:dyDescent="0.25">
      <c r="A610" s="20"/>
    </row>
    <row r="611" spans="1:1" x14ac:dyDescent="0.25">
      <c r="A611" s="20"/>
    </row>
    <row r="612" spans="1:1" x14ac:dyDescent="0.25">
      <c r="A612" s="20"/>
    </row>
    <row r="613" spans="1:1" x14ac:dyDescent="0.25">
      <c r="A613" s="20"/>
    </row>
    <row r="614" spans="1:1" x14ac:dyDescent="0.25">
      <c r="A614" s="20"/>
    </row>
    <row r="615" spans="1:1" x14ac:dyDescent="0.25">
      <c r="A615" s="20"/>
    </row>
    <row r="616" spans="1:1" x14ac:dyDescent="0.25">
      <c r="A616" s="20"/>
    </row>
    <row r="617" spans="1:1" x14ac:dyDescent="0.25">
      <c r="A617" s="20"/>
    </row>
    <row r="618" spans="1:1" x14ac:dyDescent="0.25">
      <c r="A618" s="20"/>
    </row>
    <row r="619" spans="1:1" x14ac:dyDescent="0.25">
      <c r="A619" s="20"/>
    </row>
    <row r="620" spans="1:1" x14ac:dyDescent="0.25">
      <c r="A620" s="20"/>
    </row>
    <row r="621" spans="1:1" x14ac:dyDescent="0.25">
      <c r="A621" s="20"/>
    </row>
    <row r="622" spans="1:1" x14ac:dyDescent="0.25">
      <c r="A622" s="20"/>
    </row>
    <row r="623" spans="1:1" x14ac:dyDescent="0.25">
      <c r="A623" s="20"/>
    </row>
    <row r="624" spans="1:1" x14ac:dyDescent="0.25">
      <c r="A624" s="20"/>
    </row>
    <row r="625" spans="1:1" x14ac:dyDescent="0.25">
      <c r="A625" s="20"/>
    </row>
    <row r="626" spans="1:1" x14ac:dyDescent="0.25">
      <c r="A626" s="20"/>
    </row>
    <row r="627" spans="1:1" x14ac:dyDescent="0.25">
      <c r="A627" s="20"/>
    </row>
    <row r="628" spans="1:1" x14ac:dyDescent="0.25">
      <c r="A628" s="20"/>
    </row>
    <row r="629" spans="1:1" x14ac:dyDescent="0.25">
      <c r="A629" s="20"/>
    </row>
    <row r="630" spans="1:1" x14ac:dyDescent="0.25">
      <c r="A630" s="20"/>
    </row>
    <row r="631" spans="1:1" x14ac:dyDescent="0.25">
      <c r="A631" s="20"/>
    </row>
    <row r="632" spans="1:1" x14ac:dyDescent="0.25">
      <c r="A632" s="20"/>
    </row>
    <row r="633" spans="1:1" x14ac:dyDescent="0.25">
      <c r="A633" s="20"/>
    </row>
    <row r="634" spans="1:1" x14ac:dyDescent="0.25">
      <c r="A634" s="20"/>
    </row>
    <row r="635" spans="1:1" x14ac:dyDescent="0.25">
      <c r="A635" s="20"/>
    </row>
    <row r="636" spans="1:1" x14ac:dyDescent="0.25">
      <c r="A636" s="20"/>
    </row>
    <row r="637" spans="1:1" x14ac:dyDescent="0.25">
      <c r="A637" s="20"/>
    </row>
    <row r="638" spans="1:1" x14ac:dyDescent="0.25">
      <c r="A638" s="20"/>
    </row>
    <row r="639" spans="1:1" x14ac:dyDescent="0.25">
      <c r="A639" s="20"/>
    </row>
    <row r="640" spans="1:1" x14ac:dyDescent="0.25">
      <c r="A640" s="20"/>
    </row>
    <row r="641" spans="1:1" x14ac:dyDescent="0.25">
      <c r="A641" s="20"/>
    </row>
    <row r="642" spans="1:1" x14ac:dyDescent="0.25">
      <c r="A642" s="20"/>
    </row>
    <row r="643" spans="1:1" x14ac:dyDescent="0.25">
      <c r="A643" s="20"/>
    </row>
    <row r="644" spans="1:1" x14ac:dyDescent="0.25">
      <c r="A644" s="20"/>
    </row>
    <row r="645" spans="1:1" x14ac:dyDescent="0.25">
      <c r="A645" s="20"/>
    </row>
    <row r="646" spans="1:1" x14ac:dyDescent="0.25">
      <c r="A646" s="20"/>
    </row>
    <row r="647" spans="1:1" x14ac:dyDescent="0.25">
      <c r="A647" s="20"/>
    </row>
    <row r="648" spans="1:1" x14ac:dyDescent="0.25">
      <c r="A648" s="20"/>
    </row>
    <row r="649" spans="1:1" x14ac:dyDescent="0.25">
      <c r="A649" s="20"/>
    </row>
    <row r="650" spans="1:1" x14ac:dyDescent="0.25">
      <c r="A650" s="20"/>
    </row>
    <row r="651" spans="1:1" x14ac:dyDescent="0.25">
      <c r="A651" s="20"/>
    </row>
    <row r="652" spans="1:1" x14ac:dyDescent="0.25">
      <c r="A652" s="20"/>
    </row>
    <row r="653" spans="1:1" x14ac:dyDescent="0.25">
      <c r="A653" s="20"/>
    </row>
    <row r="654" spans="1:1" x14ac:dyDescent="0.25">
      <c r="A654" s="20"/>
    </row>
    <row r="655" spans="1:1" x14ac:dyDescent="0.25">
      <c r="A655" s="20"/>
    </row>
    <row r="656" spans="1:1" x14ac:dyDescent="0.25">
      <c r="A656" s="20"/>
    </row>
    <row r="657" spans="1:1" x14ac:dyDescent="0.25">
      <c r="A657" s="20"/>
    </row>
    <row r="658" spans="1:1" x14ac:dyDescent="0.25">
      <c r="A658" s="20"/>
    </row>
    <row r="659" spans="1:1" x14ac:dyDescent="0.25">
      <c r="A659" s="20"/>
    </row>
    <row r="660" spans="1:1" x14ac:dyDescent="0.25">
      <c r="A660" s="20"/>
    </row>
    <row r="661" spans="1:1" x14ac:dyDescent="0.25">
      <c r="A661" s="20"/>
    </row>
    <row r="662" spans="1:1" x14ac:dyDescent="0.25">
      <c r="A662" s="20"/>
    </row>
    <row r="663" spans="1:1" x14ac:dyDescent="0.25">
      <c r="A663" s="20"/>
    </row>
    <row r="664" spans="1:1" x14ac:dyDescent="0.25">
      <c r="A664" s="20"/>
    </row>
    <row r="665" spans="1:1" x14ac:dyDescent="0.25">
      <c r="A665" s="20"/>
    </row>
    <row r="666" spans="1:1" x14ac:dyDescent="0.25">
      <c r="A666" s="20"/>
    </row>
    <row r="667" spans="1:1" x14ac:dyDescent="0.25">
      <c r="A667" s="20"/>
    </row>
    <row r="668" spans="1:1" x14ac:dyDescent="0.25">
      <c r="A668" s="20"/>
    </row>
    <row r="669" spans="1:1" x14ac:dyDescent="0.25">
      <c r="A669" s="20"/>
    </row>
    <row r="670" spans="1:1" x14ac:dyDescent="0.25">
      <c r="A670" s="20"/>
    </row>
    <row r="671" spans="1:1" x14ac:dyDescent="0.25">
      <c r="A671" s="20"/>
    </row>
    <row r="672" spans="1:1" x14ac:dyDescent="0.25">
      <c r="A672" s="20"/>
    </row>
    <row r="673" spans="1:1" x14ac:dyDescent="0.25">
      <c r="A673" s="20"/>
    </row>
    <row r="674" spans="1:1" x14ac:dyDescent="0.25">
      <c r="A674" s="20"/>
    </row>
    <row r="675" spans="1:1" x14ac:dyDescent="0.25">
      <c r="A675" s="20"/>
    </row>
    <row r="676" spans="1:1" x14ac:dyDescent="0.25">
      <c r="A676" s="20"/>
    </row>
    <row r="677" spans="1:1" x14ac:dyDescent="0.25">
      <c r="A677" s="20"/>
    </row>
    <row r="678" spans="1:1" x14ac:dyDescent="0.25">
      <c r="A678" s="20"/>
    </row>
    <row r="679" spans="1:1" x14ac:dyDescent="0.25">
      <c r="A679" s="20"/>
    </row>
    <row r="680" spans="1:1" x14ac:dyDescent="0.25">
      <c r="A680" s="20"/>
    </row>
    <row r="681" spans="1:1" x14ac:dyDescent="0.25">
      <c r="A681" s="20"/>
    </row>
    <row r="682" spans="1:1" x14ac:dyDescent="0.25">
      <c r="A682" s="20"/>
    </row>
    <row r="683" spans="1:1" x14ac:dyDescent="0.25">
      <c r="A683" s="20"/>
    </row>
    <row r="684" spans="1:1" x14ac:dyDescent="0.25">
      <c r="A684" s="20"/>
    </row>
    <row r="685" spans="1:1" x14ac:dyDescent="0.25">
      <c r="A685" s="20"/>
    </row>
    <row r="686" spans="1:1" x14ac:dyDescent="0.25">
      <c r="A686" s="20"/>
    </row>
    <row r="687" spans="1:1" x14ac:dyDescent="0.25">
      <c r="A687" s="20"/>
    </row>
    <row r="688" spans="1:1" x14ac:dyDescent="0.25">
      <c r="A688" s="20"/>
    </row>
    <row r="689" spans="1:1" x14ac:dyDescent="0.25">
      <c r="A689" s="20"/>
    </row>
    <row r="690" spans="1:1" x14ac:dyDescent="0.25">
      <c r="A690" s="20"/>
    </row>
    <row r="691" spans="1:1" x14ac:dyDescent="0.25">
      <c r="A691" s="20"/>
    </row>
    <row r="692" spans="1:1" x14ac:dyDescent="0.25">
      <c r="A692" s="20"/>
    </row>
    <row r="693" spans="1:1" x14ac:dyDescent="0.25">
      <c r="A693" s="20"/>
    </row>
    <row r="694" spans="1:1" x14ac:dyDescent="0.25">
      <c r="A694" s="20"/>
    </row>
    <row r="695" spans="1:1" x14ac:dyDescent="0.25">
      <c r="A695" s="20"/>
    </row>
    <row r="696" spans="1:1" x14ac:dyDescent="0.25">
      <c r="A696" s="20"/>
    </row>
    <row r="697" spans="1:1" x14ac:dyDescent="0.25">
      <c r="A697" s="20"/>
    </row>
    <row r="698" spans="1:1" x14ac:dyDescent="0.25">
      <c r="A698" s="20"/>
    </row>
    <row r="699" spans="1:1" x14ac:dyDescent="0.25">
      <c r="A699" s="20"/>
    </row>
    <row r="700" spans="1:1" x14ac:dyDescent="0.25">
      <c r="A700" s="20"/>
    </row>
    <row r="701" spans="1:1" x14ac:dyDescent="0.25">
      <c r="A701" s="20"/>
    </row>
    <row r="702" spans="1:1" x14ac:dyDescent="0.25">
      <c r="A702" s="20"/>
    </row>
    <row r="703" spans="1:1" x14ac:dyDescent="0.25">
      <c r="A703" s="20"/>
    </row>
    <row r="704" spans="1:1" x14ac:dyDescent="0.25">
      <c r="A704" s="20"/>
    </row>
    <row r="705" spans="1:1" x14ac:dyDescent="0.25">
      <c r="A705" s="20"/>
    </row>
    <row r="706" spans="1:1" x14ac:dyDescent="0.25">
      <c r="A706" s="20"/>
    </row>
    <row r="707" spans="1:1" x14ac:dyDescent="0.25">
      <c r="A707" s="20"/>
    </row>
    <row r="708" spans="1:1" x14ac:dyDescent="0.25">
      <c r="A708" s="20"/>
    </row>
    <row r="709" spans="1:1" x14ac:dyDescent="0.25">
      <c r="A709" s="20"/>
    </row>
    <row r="710" spans="1:1" x14ac:dyDescent="0.25">
      <c r="A710" s="20"/>
    </row>
    <row r="711" spans="1:1" x14ac:dyDescent="0.25">
      <c r="A711" s="20"/>
    </row>
    <row r="712" spans="1:1" x14ac:dyDescent="0.25">
      <c r="A712" s="20"/>
    </row>
    <row r="713" spans="1:1" x14ac:dyDescent="0.25">
      <c r="A713" s="20"/>
    </row>
    <row r="714" spans="1:1" x14ac:dyDescent="0.25">
      <c r="A714" s="20"/>
    </row>
    <row r="715" spans="1:1" x14ac:dyDescent="0.25">
      <c r="A715" s="20"/>
    </row>
    <row r="716" spans="1:1" x14ac:dyDescent="0.25">
      <c r="A716" s="20"/>
    </row>
    <row r="717" spans="1:1" x14ac:dyDescent="0.25">
      <c r="A717" s="20"/>
    </row>
    <row r="718" spans="1:1" x14ac:dyDescent="0.25">
      <c r="A718" s="20"/>
    </row>
    <row r="719" spans="1:1" x14ac:dyDescent="0.25">
      <c r="A719" s="20"/>
    </row>
    <row r="720" spans="1:1" x14ac:dyDescent="0.25">
      <c r="A720" s="20"/>
    </row>
    <row r="721" spans="1:1" x14ac:dyDescent="0.25">
      <c r="A721" s="20"/>
    </row>
    <row r="722" spans="1:1" x14ac:dyDescent="0.25">
      <c r="A722" s="20"/>
    </row>
    <row r="723" spans="1:1" x14ac:dyDescent="0.25">
      <c r="A723" s="20"/>
    </row>
    <row r="724" spans="1:1" x14ac:dyDescent="0.25">
      <c r="A724" s="20"/>
    </row>
    <row r="725" spans="1:1" x14ac:dyDescent="0.25">
      <c r="A725" s="20"/>
    </row>
    <row r="726" spans="1:1" x14ac:dyDescent="0.25">
      <c r="A726" s="20"/>
    </row>
    <row r="727" spans="1:1" x14ac:dyDescent="0.25">
      <c r="A727" s="20"/>
    </row>
    <row r="728" spans="1:1" x14ac:dyDescent="0.25">
      <c r="A728" s="20"/>
    </row>
    <row r="729" spans="1:1" x14ac:dyDescent="0.25">
      <c r="A729" s="20"/>
    </row>
    <row r="730" spans="1:1" x14ac:dyDescent="0.25">
      <c r="A730" s="20"/>
    </row>
    <row r="731" spans="1:1" x14ac:dyDescent="0.25">
      <c r="A731" s="20"/>
    </row>
    <row r="732" spans="1:1" x14ac:dyDescent="0.25">
      <c r="A732" s="20"/>
    </row>
    <row r="733" spans="1:1" x14ac:dyDescent="0.25">
      <c r="A733" s="20"/>
    </row>
    <row r="734" spans="1:1" x14ac:dyDescent="0.25">
      <c r="A734" s="20"/>
    </row>
    <row r="735" spans="1:1" x14ac:dyDescent="0.25">
      <c r="A735" s="20"/>
    </row>
    <row r="736" spans="1:1" x14ac:dyDescent="0.25">
      <c r="A736" s="20"/>
    </row>
    <row r="737" spans="1:1" x14ac:dyDescent="0.25">
      <c r="A737" s="20"/>
    </row>
    <row r="738" spans="1:1" x14ac:dyDescent="0.25">
      <c r="A738" s="20"/>
    </row>
    <row r="739" spans="1:1" x14ac:dyDescent="0.25">
      <c r="A739" s="20"/>
    </row>
    <row r="740" spans="1:1" x14ac:dyDescent="0.25">
      <c r="A740" s="20"/>
    </row>
    <row r="741" spans="1:1" x14ac:dyDescent="0.25">
      <c r="A741" s="20"/>
    </row>
    <row r="742" spans="1:1" x14ac:dyDescent="0.25">
      <c r="A742" s="20"/>
    </row>
    <row r="743" spans="1:1" x14ac:dyDescent="0.25">
      <c r="A743" s="20"/>
    </row>
    <row r="744" spans="1:1" x14ac:dyDescent="0.25">
      <c r="A744" s="20"/>
    </row>
    <row r="745" spans="1:1" x14ac:dyDescent="0.25">
      <c r="A745" s="20"/>
    </row>
    <row r="746" spans="1:1" x14ac:dyDescent="0.25">
      <c r="A746" s="20"/>
    </row>
    <row r="747" spans="1:1" x14ac:dyDescent="0.25">
      <c r="A747" s="20"/>
    </row>
    <row r="748" spans="1:1" x14ac:dyDescent="0.25">
      <c r="A748" s="20"/>
    </row>
    <row r="749" spans="1:1" x14ac:dyDescent="0.25">
      <c r="A749" s="20"/>
    </row>
    <row r="750" spans="1:1" x14ac:dyDescent="0.25">
      <c r="A750" s="20"/>
    </row>
    <row r="751" spans="1:1" x14ac:dyDescent="0.25">
      <c r="A751" s="20"/>
    </row>
    <row r="752" spans="1:1" x14ac:dyDescent="0.25">
      <c r="A752" s="20"/>
    </row>
    <row r="753" spans="1:1" x14ac:dyDescent="0.25">
      <c r="A753" s="20"/>
    </row>
    <row r="754" spans="1:1" x14ac:dyDescent="0.25">
      <c r="A754" s="20"/>
    </row>
    <row r="755" spans="1:1" x14ac:dyDescent="0.25">
      <c r="A755" s="20"/>
    </row>
    <row r="756" spans="1:1" x14ac:dyDescent="0.25">
      <c r="A756" s="20"/>
    </row>
    <row r="757" spans="1:1" x14ac:dyDescent="0.25">
      <c r="A757" s="20"/>
    </row>
    <row r="758" spans="1:1" x14ac:dyDescent="0.25">
      <c r="A758" s="20"/>
    </row>
    <row r="759" spans="1:1" x14ac:dyDescent="0.25">
      <c r="A759" s="20"/>
    </row>
    <row r="760" spans="1:1" x14ac:dyDescent="0.25">
      <c r="A760" s="20"/>
    </row>
    <row r="761" spans="1:1" x14ac:dyDescent="0.25">
      <c r="A761" s="20"/>
    </row>
    <row r="762" spans="1:1" x14ac:dyDescent="0.25">
      <c r="A762" s="20"/>
    </row>
    <row r="763" spans="1:1" x14ac:dyDescent="0.25">
      <c r="A763" s="20"/>
    </row>
    <row r="764" spans="1:1" x14ac:dyDescent="0.25">
      <c r="A764" s="20"/>
    </row>
    <row r="765" spans="1:1" x14ac:dyDescent="0.25">
      <c r="A765" s="20"/>
    </row>
    <row r="766" spans="1:1" x14ac:dyDescent="0.25">
      <c r="A766" s="20"/>
    </row>
    <row r="767" spans="1:1" x14ac:dyDescent="0.25">
      <c r="A767" s="20"/>
    </row>
    <row r="768" spans="1:1" x14ac:dyDescent="0.25">
      <c r="A768" s="20"/>
    </row>
    <row r="769" spans="1:1" x14ac:dyDescent="0.25">
      <c r="A769" s="20"/>
    </row>
    <row r="770" spans="1:1" x14ac:dyDescent="0.25">
      <c r="A770" s="20"/>
    </row>
    <row r="771" spans="1:1" x14ac:dyDescent="0.25">
      <c r="A771" s="20"/>
    </row>
    <row r="772" spans="1:1" x14ac:dyDescent="0.25">
      <c r="A772" s="20"/>
    </row>
    <row r="773" spans="1:1" x14ac:dyDescent="0.25">
      <c r="A773" s="20"/>
    </row>
    <row r="774" spans="1:1" x14ac:dyDescent="0.25">
      <c r="A774" s="20"/>
    </row>
    <row r="775" spans="1:1" x14ac:dyDescent="0.25">
      <c r="A775" s="20"/>
    </row>
    <row r="776" spans="1:1" x14ac:dyDescent="0.25">
      <c r="A776" s="20"/>
    </row>
    <row r="777" spans="1:1" x14ac:dyDescent="0.25">
      <c r="A777" s="20"/>
    </row>
    <row r="778" spans="1:1" x14ac:dyDescent="0.25">
      <c r="A778" s="20"/>
    </row>
    <row r="779" spans="1:1" x14ac:dyDescent="0.25">
      <c r="A779" s="20"/>
    </row>
    <row r="780" spans="1:1" x14ac:dyDescent="0.25">
      <c r="A780" s="20"/>
    </row>
    <row r="781" spans="1:1" x14ac:dyDescent="0.25">
      <c r="A781" s="20"/>
    </row>
    <row r="782" spans="1:1" x14ac:dyDescent="0.25">
      <c r="A782" s="20"/>
    </row>
    <row r="783" spans="1:1" x14ac:dyDescent="0.25">
      <c r="A783" s="20"/>
    </row>
    <row r="784" spans="1:1" x14ac:dyDescent="0.25">
      <c r="A784" s="20"/>
    </row>
    <row r="785" spans="1:1" x14ac:dyDescent="0.25">
      <c r="A785" s="20"/>
    </row>
    <row r="786" spans="1:1" x14ac:dyDescent="0.25">
      <c r="A786" s="20"/>
    </row>
    <row r="787" spans="1:1" x14ac:dyDescent="0.25">
      <c r="A787" s="20"/>
    </row>
    <row r="788" spans="1:1" x14ac:dyDescent="0.25">
      <c r="A788" s="20"/>
    </row>
    <row r="789" spans="1:1" x14ac:dyDescent="0.25">
      <c r="A789" s="20"/>
    </row>
    <row r="790" spans="1:1" x14ac:dyDescent="0.25">
      <c r="A790" s="20"/>
    </row>
    <row r="791" spans="1:1" x14ac:dyDescent="0.25">
      <c r="A791" s="20"/>
    </row>
    <row r="792" spans="1:1" x14ac:dyDescent="0.25">
      <c r="A792" s="20"/>
    </row>
    <row r="793" spans="1:1" x14ac:dyDescent="0.25">
      <c r="A793" s="20"/>
    </row>
    <row r="794" spans="1:1" x14ac:dyDescent="0.25">
      <c r="A794" s="20"/>
    </row>
    <row r="795" spans="1:1" x14ac:dyDescent="0.25">
      <c r="A795" s="20"/>
    </row>
    <row r="796" spans="1:1" x14ac:dyDescent="0.25">
      <c r="A796" s="20"/>
    </row>
    <row r="797" spans="1:1" x14ac:dyDescent="0.25">
      <c r="A797" s="20"/>
    </row>
    <row r="798" spans="1:1" x14ac:dyDescent="0.25">
      <c r="A798" s="20"/>
    </row>
    <row r="799" spans="1:1" x14ac:dyDescent="0.25">
      <c r="A799" s="20"/>
    </row>
    <row r="800" spans="1:1" x14ac:dyDescent="0.25">
      <c r="A800" s="20"/>
    </row>
    <row r="801" spans="1:1" x14ac:dyDescent="0.25">
      <c r="A801" s="20"/>
    </row>
    <row r="802" spans="1:1" x14ac:dyDescent="0.25">
      <c r="A802" s="20"/>
    </row>
    <row r="803" spans="1:1" x14ac:dyDescent="0.25">
      <c r="A803" s="20"/>
    </row>
    <row r="804" spans="1:1" x14ac:dyDescent="0.25">
      <c r="A804" s="20"/>
    </row>
    <row r="805" spans="1:1" x14ac:dyDescent="0.25">
      <c r="A805" s="20"/>
    </row>
    <row r="806" spans="1:1" x14ac:dyDescent="0.25">
      <c r="A806" s="20"/>
    </row>
    <row r="807" spans="1:1" x14ac:dyDescent="0.25">
      <c r="A807" s="20"/>
    </row>
    <row r="808" spans="1:1" x14ac:dyDescent="0.25">
      <c r="A808" s="20"/>
    </row>
    <row r="809" spans="1:1" x14ac:dyDescent="0.25">
      <c r="A809" s="20"/>
    </row>
    <row r="810" spans="1:1" x14ac:dyDescent="0.25">
      <c r="A810" s="20"/>
    </row>
    <row r="811" spans="1:1" x14ac:dyDescent="0.25">
      <c r="A811" s="20"/>
    </row>
    <row r="812" spans="1:1" x14ac:dyDescent="0.25">
      <c r="A812" s="20"/>
    </row>
    <row r="813" spans="1:1" x14ac:dyDescent="0.25">
      <c r="A813" s="20"/>
    </row>
    <row r="814" spans="1:1" x14ac:dyDescent="0.25">
      <c r="A814" s="20"/>
    </row>
    <row r="815" spans="1:1" x14ac:dyDescent="0.25">
      <c r="A815" s="20"/>
    </row>
    <row r="816" spans="1:1" x14ac:dyDescent="0.25">
      <c r="A816" s="20"/>
    </row>
    <row r="817" spans="1:1" x14ac:dyDescent="0.25">
      <c r="A817" s="20"/>
    </row>
    <row r="818" spans="1:1" x14ac:dyDescent="0.25">
      <c r="A818" s="20"/>
    </row>
    <row r="819" spans="1:1" x14ac:dyDescent="0.25">
      <c r="A819" s="20"/>
    </row>
    <row r="820" spans="1:1" x14ac:dyDescent="0.25">
      <c r="A820" s="20"/>
    </row>
    <row r="821" spans="1:1" x14ac:dyDescent="0.25">
      <c r="A821" s="20"/>
    </row>
    <row r="822" spans="1:1" x14ac:dyDescent="0.25">
      <c r="A822" s="20"/>
    </row>
    <row r="823" spans="1:1" x14ac:dyDescent="0.25">
      <c r="A823" s="20"/>
    </row>
    <row r="824" spans="1:1" x14ac:dyDescent="0.25">
      <c r="A824" s="20"/>
    </row>
    <row r="825" spans="1:1" x14ac:dyDescent="0.25">
      <c r="A825" s="20"/>
    </row>
    <row r="826" spans="1:1" x14ac:dyDescent="0.25">
      <c r="A826" s="20"/>
    </row>
    <row r="827" spans="1:1" x14ac:dyDescent="0.25">
      <c r="A827" s="20"/>
    </row>
    <row r="828" spans="1:1" x14ac:dyDescent="0.25">
      <c r="A828" s="20"/>
    </row>
    <row r="829" spans="1:1" x14ac:dyDescent="0.25">
      <c r="A829" s="20"/>
    </row>
    <row r="830" spans="1:1" x14ac:dyDescent="0.25">
      <c r="A830" s="20"/>
    </row>
    <row r="831" spans="1:1" x14ac:dyDescent="0.25">
      <c r="A831" s="20"/>
    </row>
    <row r="832" spans="1:1" x14ac:dyDescent="0.25">
      <c r="A832" s="20"/>
    </row>
    <row r="833" spans="1:1" x14ac:dyDescent="0.25">
      <c r="A833" s="20"/>
    </row>
    <row r="834" spans="1:1" x14ac:dyDescent="0.25">
      <c r="A834" s="20"/>
    </row>
    <row r="835" spans="1:1" x14ac:dyDescent="0.25">
      <c r="A835" s="20"/>
    </row>
    <row r="836" spans="1:1" x14ac:dyDescent="0.25">
      <c r="A836" s="20"/>
    </row>
    <row r="837" spans="1:1" x14ac:dyDescent="0.25">
      <c r="A837" s="20"/>
    </row>
    <row r="838" spans="1:1" x14ac:dyDescent="0.25">
      <c r="A838" s="20"/>
    </row>
    <row r="839" spans="1:1" x14ac:dyDescent="0.25">
      <c r="A839" s="20"/>
    </row>
    <row r="840" spans="1:1" x14ac:dyDescent="0.25">
      <c r="A840" s="20"/>
    </row>
    <row r="841" spans="1:1" x14ac:dyDescent="0.25">
      <c r="A841" s="20"/>
    </row>
    <row r="842" spans="1:1" x14ac:dyDescent="0.25">
      <c r="A842" s="20"/>
    </row>
    <row r="843" spans="1:1" x14ac:dyDescent="0.25">
      <c r="A843" s="20"/>
    </row>
    <row r="844" spans="1:1" x14ac:dyDescent="0.25">
      <c r="A844" s="20"/>
    </row>
    <row r="845" spans="1:1" x14ac:dyDescent="0.25">
      <c r="A845" s="20"/>
    </row>
    <row r="846" spans="1:1" x14ac:dyDescent="0.25">
      <c r="A846" s="20"/>
    </row>
    <row r="847" spans="1:1" x14ac:dyDescent="0.25">
      <c r="A847" s="20"/>
    </row>
    <row r="848" spans="1:1" x14ac:dyDescent="0.25">
      <c r="A848" s="20"/>
    </row>
    <row r="849" spans="1:1" x14ac:dyDescent="0.25">
      <c r="A849" s="20"/>
    </row>
    <row r="850" spans="1:1" x14ac:dyDescent="0.25">
      <c r="A850" s="20"/>
    </row>
    <row r="851" spans="1:1" x14ac:dyDescent="0.25">
      <c r="A851" s="20"/>
    </row>
    <row r="852" spans="1:1" x14ac:dyDescent="0.25">
      <c r="A852" s="20"/>
    </row>
    <row r="853" spans="1:1" x14ac:dyDescent="0.25">
      <c r="A853" s="20"/>
    </row>
    <row r="854" spans="1:1" x14ac:dyDescent="0.25">
      <c r="A854" s="20"/>
    </row>
    <row r="855" spans="1:1" x14ac:dyDescent="0.25">
      <c r="A855" s="20"/>
    </row>
    <row r="856" spans="1:1" x14ac:dyDescent="0.25">
      <c r="A856" s="20"/>
    </row>
    <row r="857" spans="1:1" x14ac:dyDescent="0.25">
      <c r="A857" s="20"/>
    </row>
    <row r="858" spans="1:1" x14ac:dyDescent="0.25">
      <c r="A858" s="20"/>
    </row>
    <row r="859" spans="1:1" x14ac:dyDescent="0.25">
      <c r="A859" s="20"/>
    </row>
    <row r="860" spans="1:1" x14ac:dyDescent="0.25">
      <c r="A860" s="20"/>
    </row>
    <row r="861" spans="1:1" x14ac:dyDescent="0.25">
      <c r="A861" s="20"/>
    </row>
    <row r="862" spans="1:1" x14ac:dyDescent="0.25">
      <c r="A862" s="20"/>
    </row>
    <row r="863" spans="1:1" x14ac:dyDescent="0.25">
      <c r="A863" s="20"/>
    </row>
    <row r="864" spans="1:1" x14ac:dyDescent="0.25">
      <c r="A864" s="20"/>
    </row>
    <row r="865" spans="1:1" x14ac:dyDescent="0.25">
      <c r="A865" s="20"/>
    </row>
    <row r="866" spans="1:1" x14ac:dyDescent="0.25">
      <c r="A866" s="20"/>
    </row>
    <row r="867" spans="1:1" x14ac:dyDescent="0.25">
      <c r="A867" s="20"/>
    </row>
    <row r="868" spans="1:1" x14ac:dyDescent="0.25">
      <c r="A868" s="20"/>
    </row>
    <row r="869" spans="1:1" x14ac:dyDescent="0.25">
      <c r="A869" s="20"/>
    </row>
    <row r="870" spans="1:1" x14ac:dyDescent="0.25">
      <c r="A870" s="20"/>
    </row>
    <row r="871" spans="1:1" x14ac:dyDescent="0.25">
      <c r="A871" s="20"/>
    </row>
    <row r="872" spans="1:1" x14ac:dyDescent="0.25">
      <c r="A872" s="20"/>
    </row>
    <row r="873" spans="1:1" x14ac:dyDescent="0.25">
      <c r="A873" s="20"/>
    </row>
    <row r="874" spans="1:1" x14ac:dyDescent="0.25">
      <c r="A874" s="20"/>
    </row>
    <row r="875" spans="1:1" x14ac:dyDescent="0.25">
      <c r="A875" s="20"/>
    </row>
    <row r="876" spans="1:1" x14ac:dyDescent="0.25">
      <c r="A876" s="20"/>
    </row>
    <row r="877" spans="1:1" x14ac:dyDescent="0.25">
      <c r="A877" s="20"/>
    </row>
    <row r="878" spans="1:1" x14ac:dyDescent="0.25">
      <c r="A878" s="20"/>
    </row>
    <row r="879" spans="1:1" x14ac:dyDescent="0.25">
      <c r="A879" s="20"/>
    </row>
    <row r="880" spans="1:1" x14ac:dyDescent="0.25">
      <c r="A880" s="20"/>
    </row>
    <row r="881" spans="1:1" x14ac:dyDescent="0.25">
      <c r="A881" s="20"/>
    </row>
    <row r="882" spans="1:1" x14ac:dyDescent="0.25">
      <c r="A882" s="20"/>
    </row>
    <row r="883" spans="1:1" x14ac:dyDescent="0.25">
      <c r="A883" s="20"/>
    </row>
    <row r="884" spans="1:1" x14ac:dyDescent="0.25">
      <c r="A884" s="20"/>
    </row>
    <row r="885" spans="1:1" x14ac:dyDescent="0.25">
      <c r="A885" s="20"/>
    </row>
    <row r="886" spans="1:1" x14ac:dyDescent="0.25">
      <c r="A886" s="20"/>
    </row>
    <row r="887" spans="1:1" x14ac:dyDescent="0.25">
      <c r="A887" s="20"/>
    </row>
    <row r="888" spans="1:1" x14ac:dyDescent="0.25">
      <c r="A888" s="20"/>
    </row>
    <row r="889" spans="1:1" x14ac:dyDescent="0.25">
      <c r="A889" s="20"/>
    </row>
    <row r="890" spans="1:1" x14ac:dyDescent="0.25">
      <c r="A890" s="20"/>
    </row>
    <row r="891" spans="1:1" x14ac:dyDescent="0.25">
      <c r="A891" s="20"/>
    </row>
    <row r="892" spans="1:1" x14ac:dyDescent="0.25">
      <c r="A892" s="20"/>
    </row>
    <row r="893" spans="1:1" x14ac:dyDescent="0.25">
      <c r="A893" s="20"/>
    </row>
    <row r="894" spans="1:1" x14ac:dyDescent="0.25">
      <c r="A894" s="20"/>
    </row>
    <row r="895" spans="1:1" x14ac:dyDescent="0.25">
      <c r="A895" s="20"/>
    </row>
    <row r="896" spans="1:1" x14ac:dyDescent="0.25">
      <c r="A896" s="20"/>
    </row>
    <row r="897" spans="1:1" x14ac:dyDescent="0.25">
      <c r="A897" s="20"/>
    </row>
    <row r="898" spans="1:1" x14ac:dyDescent="0.25">
      <c r="A898" s="20"/>
    </row>
    <row r="899" spans="1:1" x14ac:dyDescent="0.25">
      <c r="A899" s="20"/>
    </row>
    <row r="900" spans="1:1" x14ac:dyDescent="0.25">
      <c r="A900" s="20"/>
    </row>
    <row r="901" spans="1:1" x14ac:dyDescent="0.25">
      <c r="A901" s="20"/>
    </row>
    <row r="902" spans="1:1" x14ac:dyDescent="0.25">
      <c r="A902" s="20"/>
    </row>
    <row r="903" spans="1:1" x14ac:dyDescent="0.25">
      <c r="A903" s="20"/>
    </row>
    <row r="904" spans="1:1" x14ac:dyDescent="0.25">
      <c r="A904" s="20"/>
    </row>
    <row r="905" spans="1:1" x14ac:dyDescent="0.25">
      <c r="A905" s="20"/>
    </row>
    <row r="906" spans="1:1" x14ac:dyDescent="0.25">
      <c r="A906" s="20"/>
    </row>
    <row r="907" spans="1:1" x14ac:dyDescent="0.25">
      <c r="A907" s="20"/>
    </row>
    <row r="908" spans="1:1" x14ac:dyDescent="0.25">
      <c r="A908" s="20"/>
    </row>
    <row r="909" spans="1:1" x14ac:dyDescent="0.25">
      <c r="A909" s="20"/>
    </row>
    <row r="910" spans="1:1" x14ac:dyDescent="0.25">
      <c r="A910" s="20"/>
    </row>
    <row r="911" spans="1:1" x14ac:dyDescent="0.25">
      <c r="A911" s="20"/>
    </row>
    <row r="912" spans="1:1" x14ac:dyDescent="0.25">
      <c r="A912" s="20"/>
    </row>
    <row r="913" spans="1:1" x14ac:dyDescent="0.25">
      <c r="A913" s="20"/>
    </row>
    <row r="914" spans="1:1" x14ac:dyDescent="0.25">
      <c r="A914" s="20"/>
    </row>
    <row r="915" spans="1:1" x14ac:dyDescent="0.25">
      <c r="A915" s="20"/>
    </row>
    <row r="916" spans="1:1" x14ac:dyDescent="0.25">
      <c r="A916" s="20"/>
    </row>
    <row r="917" spans="1:1" x14ac:dyDescent="0.25">
      <c r="A917" s="20"/>
    </row>
    <row r="918" spans="1:1" x14ac:dyDescent="0.25">
      <c r="A918" s="20"/>
    </row>
    <row r="919" spans="1:1" x14ac:dyDescent="0.25">
      <c r="A919" s="20"/>
    </row>
    <row r="920" spans="1:1" x14ac:dyDescent="0.25">
      <c r="A920" s="20"/>
    </row>
    <row r="921" spans="1:1" x14ac:dyDescent="0.25">
      <c r="A921" s="20"/>
    </row>
    <row r="922" spans="1:1" x14ac:dyDescent="0.25">
      <c r="A922" s="20"/>
    </row>
    <row r="923" spans="1:1" x14ac:dyDescent="0.25">
      <c r="A923" s="20"/>
    </row>
    <row r="924" spans="1:1" x14ac:dyDescent="0.25">
      <c r="A924" s="20"/>
    </row>
    <row r="925" spans="1:1" x14ac:dyDescent="0.25">
      <c r="A925" s="20"/>
    </row>
    <row r="926" spans="1:1" x14ac:dyDescent="0.25">
      <c r="A926" s="20"/>
    </row>
    <row r="927" spans="1:1" x14ac:dyDescent="0.25">
      <c r="A927" s="20"/>
    </row>
    <row r="928" spans="1:1" x14ac:dyDescent="0.25">
      <c r="A928" s="20"/>
    </row>
    <row r="929" spans="1:1" x14ac:dyDescent="0.25">
      <c r="A929" s="20"/>
    </row>
    <row r="930" spans="1:1" x14ac:dyDescent="0.25">
      <c r="A930" s="20"/>
    </row>
    <row r="931" spans="1:1" x14ac:dyDescent="0.25">
      <c r="A931" s="20"/>
    </row>
    <row r="932" spans="1:1" x14ac:dyDescent="0.25">
      <c r="A932" s="20"/>
    </row>
    <row r="933" spans="1:1" x14ac:dyDescent="0.25">
      <c r="A933" s="20"/>
    </row>
    <row r="934" spans="1:1" x14ac:dyDescent="0.25">
      <c r="A934" s="20"/>
    </row>
    <row r="935" spans="1:1" x14ac:dyDescent="0.25">
      <c r="A935" s="20"/>
    </row>
    <row r="936" spans="1:1" x14ac:dyDescent="0.25">
      <c r="A936" s="20"/>
    </row>
    <row r="937" spans="1:1" x14ac:dyDescent="0.25">
      <c r="A937" s="20"/>
    </row>
    <row r="938" spans="1:1" x14ac:dyDescent="0.25">
      <c r="A938" s="20"/>
    </row>
    <row r="939" spans="1:1" x14ac:dyDescent="0.25">
      <c r="A939" s="20"/>
    </row>
    <row r="940" spans="1:1" x14ac:dyDescent="0.25">
      <c r="A940" s="20"/>
    </row>
    <row r="941" spans="1:1" x14ac:dyDescent="0.25">
      <c r="A941" s="20"/>
    </row>
    <row r="942" spans="1:1" x14ac:dyDescent="0.25">
      <c r="A942" s="20"/>
    </row>
    <row r="943" spans="1:1" x14ac:dyDescent="0.25">
      <c r="A943" s="20"/>
    </row>
    <row r="944" spans="1:1" x14ac:dyDescent="0.25">
      <c r="A944" s="20"/>
    </row>
    <row r="945" spans="1:1" x14ac:dyDescent="0.25">
      <c r="A945" s="20"/>
    </row>
    <row r="946" spans="1:1" x14ac:dyDescent="0.25">
      <c r="A946" s="20"/>
    </row>
    <row r="947" spans="1:1" x14ac:dyDescent="0.25">
      <c r="A947" s="20"/>
    </row>
    <row r="948" spans="1:1" x14ac:dyDescent="0.25">
      <c r="A948" s="20"/>
    </row>
    <row r="949" spans="1:1" x14ac:dyDescent="0.25">
      <c r="A949" s="20"/>
    </row>
    <row r="950" spans="1:1" x14ac:dyDescent="0.25">
      <c r="A950" s="20"/>
    </row>
    <row r="951" spans="1:1" x14ac:dyDescent="0.25">
      <c r="A951" s="20"/>
    </row>
    <row r="952" spans="1:1" x14ac:dyDescent="0.25">
      <c r="A952" s="20"/>
    </row>
    <row r="953" spans="1:1" x14ac:dyDescent="0.25">
      <c r="A953" s="20"/>
    </row>
    <row r="954" spans="1:1" x14ac:dyDescent="0.25">
      <c r="A954" s="20"/>
    </row>
    <row r="955" spans="1:1" x14ac:dyDescent="0.25">
      <c r="A955" s="20"/>
    </row>
    <row r="956" spans="1:1" x14ac:dyDescent="0.25">
      <c r="A956" s="20"/>
    </row>
    <row r="957" spans="1:1" x14ac:dyDescent="0.25">
      <c r="A957" s="20"/>
    </row>
    <row r="958" spans="1:1" x14ac:dyDescent="0.25">
      <c r="A958" s="20"/>
    </row>
    <row r="959" spans="1:1" x14ac:dyDescent="0.25">
      <c r="A959" s="20"/>
    </row>
    <row r="960" spans="1:1" x14ac:dyDescent="0.25">
      <c r="A960" s="20"/>
    </row>
    <row r="961" spans="1:1" x14ac:dyDescent="0.25">
      <c r="A961" s="20"/>
    </row>
    <row r="962" spans="1:1" x14ac:dyDescent="0.25">
      <c r="A962" s="20"/>
    </row>
    <row r="963" spans="1:1" x14ac:dyDescent="0.25">
      <c r="A963" s="20"/>
    </row>
    <row r="964" spans="1:1" x14ac:dyDescent="0.25">
      <c r="A964" s="20"/>
    </row>
    <row r="965" spans="1:1" x14ac:dyDescent="0.25">
      <c r="A965" s="20"/>
    </row>
    <row r="966" spans="1:1" x14ac:dyDescent="0.25">
      <c r="A966" s="20"/>
    </row>
    <row r="967" spans="1:1" x14ac:dyDescent="0.25">
      <c r="A967" s="20"/>
    </row>
    <row r="968" spans="1:1" x14ac:dyDescent="0.25">
      <c r="A968" s="20"/>
    </row>
    <row r="969" spans="1:1" x14ac:dyDescent="0.25">
      <c r="A969" s="20"/>
    </row>
    <row r="970" spans="1:1" x14ac:dyDescent="0.25">
      <c r="A970" s="20"/>
    </row>
    <row r="971" spans="1:1" x14ac:dyDescent="0.25">
      <c r="A971" s="20"/>
    </row>
    <row r="972" spans="1:1" x14ac:dyDescent="0.25">
      <c r="A972" s="20"/>
    </row>
    <row r="973" spans="1:1" x14ac:dyDescent="0.25">
      <c r="A973" s="20"/>
    </row>
    <row r="974" spans="1:1" x14ac:dyDescent="0.25">
      <c r="A974" s="20"/>
    </row>
    <row r="975" spans="1:1" x14ac:dyDescent="0.25">
      <c r="A975" s="20"/>
    </row>
    <row r="976" spans="1:1" x14ac:dyDescent="0.25">
      <c r="A976" s="20"/>
    </row>
    <row r="977" spans="1:1" x14ac:dyDescent="0.25">
      <c r="A977" s="20"/>
    </row>
    <row r="978" spans="1:1" x14ac:dyDescent="0.25">
      <c r="A978" s="20"/>
    </row>
    <row r="979" spans="1:1" x14ac:dyDescent="0.25">
      <c r="A979" s="20"/>
    </row>
    <row r="980" spans="1:1" x14ac:dyDescent="0.25">
      <c r="A980" s="20"/>
    </row>
    <row r="981" spans="1:1" x14ac:dyDescent="0.25">
      <c r="A981" s="20"/>
    </row>
    <row r="982" spans="1:1" x14ac:dyDescent="0.25">
      <c r="A982" s="20"/>
    </row>
    <row r="983" spans="1:1" x14ac:dyDescent="0.25">
      <c r="A983" s="20"/>
    </row>
    <row r="984" spans="1:1" x14ac:dyDescent="0.25">
      <c r="A984" s="20"/>
    </row>
    <row r="985" spans="1:1" x14ac:dyDescent="0.25">
      <c r="A985" s="20"/>
    </row>
    <row r="986" spans="1:1" x14ac:dyDescent="0.25">
      <c r="A986" s="20"/>
    </row>
    <row r="987" spans="1:1" x14ac:dyDescent="0.25">
      <c r="A987" s="20"/>
    </row>
    <row r="988" spans="1:1" x14ac:dyDescent="0.25">
      <c r="A988" s="20"/>
    </row>
    <row r="989" spans="1:1" x14ac:dyDescent="0.25">
      <c r="A989" s="20"/>
    </row>
    <row r="990" spans="1:1" x14ac:dyDescent="0.25">
      <c r="A990" s="20"/>
    </row>
    <row r="991" spans="1:1" x14ac:dyDescent="0.25">
      <c r="A991" s="20"/>
    </row>
    <row r="992" spans="1:1" x14ac:dyDescent="0.25">
      <c r="A992" s="20"/>
    </row>
    <row r="993" spans="1:1" x14ac:dyDescent="0.25">
      <c r="A993" s="20"/>
    </row>
    <row r="994" spans="1:1" x14ac:dyDescent="0.25">
      <c r="A994" s="20"/>
    </row>
    <row r="995" spans="1:1" x14ac:dyDescent="0.25">
      <c r="A995" s="20"/>
    </row>
    <row r="996" spans="1:1" x14ac:dyDescent="0.25">
      <c r="A996" s="20"/>
    </row>
    <row r="997" spans="1:1" x14ac:dyDescent="0.25">
      <c r="A997" s="20"/>
    </row>
    <row r="998" spans="1:1" x14ac:dyDescent="0.25">
      <c r="A998" s="20"/>
    </row>
    <row r="999" spans="1:1" x14ac:dyDescent="0.25">
      <c r="A999" s="20"/>
    </row>
  </sheetData>
  <mergeCells count="9">
    <mergeCell ref="P1:P3"/>
    <mergeCell ref="Q1:Q3"/>
    <mergeCell ref="I1:I3"/>
    <mergeCell ref="J1:J3"/>
    <mergeCell ref="K1:K3"/>
    <mergeCell ref="L1:L3"/>
    <mergeCell ref="M1:M3"/>
    <mergeCell ref="N1:N3"/>
    <mergeCell ref="O1:O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Jockey</vt:lpstr>
      <vt:lpstr>Cavalo</vt:lpstr>
      <vt:lpstr>Mercados</vt:lpstr>
      <vt:lpstr>Dólar</vt:lpstr>
      <vt:lpstr>Selecionados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Lavoisier</cp:lastModifiedBy>
  <dcterms:created xsi:type="dcterms:W3CDTF">2022-06-10T11:32:20Z</dcterms:created>
  <dcterms:modified xsi:type="dcterms:W3CDTF">2022-06-15T02:54:16Z</dcterms:modified>
</cp:coreProperties>
</file>